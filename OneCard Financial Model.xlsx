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3.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4.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drawings/drawing5.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drawings/drawing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mc:AlternateContent xmlns:mc="http://schemas.openxmlformats.org/markup-compatibility/2006">
    <mc:Choice Requires="x15">
      <x15ac:absPath xmlns:x15ac="http://schemas.microsoft.com/office/spreadsheetml/2010/11/ac" url="/Users/avisoor/Library/CloudStorage/OneDrive-USCMarshallSchoolofBusiness/OneCard/"/>
    </mc:Choice>
  </mc:AlternateContent>
  <xr:revisionPtr revIDLastSave="0" documentId="13_ncr:1_{057516AA-A25A-7744-A464-26A60E5D20D2}" xr6:coauthVersionLast="47" xr6:coauthVersionMax="47" xr10:uidLastSave="{00000000-0000-0000-0000-000000000000}"/>
  <bookViews>
    <workbookView xWindow="920" yWindow="500" windowWidth="34920" windowHeight="21900" activeTab="9" xr2:uid="{00000000-000D-0000-FFFF-FFFF00000000}"/>
  </bookViews>
  <sheets>
    <sheet name="Example" sheetId="1" r:id="rId1"/>
    <sheet name="Market Sizing" sheetId="2" r:id="rId2"/>
    <sheet name="Market Sizing_updated" sheetId="11" r:id="rId3"/>
    <sheet name="Year 1" sheetId="3" r:id="rId4"/>
    <sheet name="Year 2" sheetId="4" r:id="rId5"/>
    <sheet name="Year 3" sheetId="5" r:id="rId6"/>
    <sheet name="Year 4" sheetId="6" r:id="rId7"/>
    <sheet name="Year 5" sheetId="7" r:id="rId8"/>
    <sheet name="Financial Statement" sheetId="8" r:id="rId9"/>
    <sheet name="Financial Statement (2)" sheetId="10" r:id="rId10"/>
    <sheet name="Variables" sheetId="9" state="hidden" r:id="rId11"/>
  </sheets>
  <definedNames>
    <definedName name="CAC_Values">#REF!</definedName>
    <definedName name="Channels_CAC">#REF!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iroZIZd2mMvqcSRo7wHLIMlQHp2A=="/>
    </ext>
  </extLst>
</workbook>
</file>

<file path=xl/calcChain.xml><?xml version="1.0" encoding="utf-8"?>
<calcChain xmlns="http://schemas.openxmlformats.org/spreadsheetml/2006/main">
  <c r="B10" i="11" l="1"/>
  <c r="B11" i="11"/>
  <c r="B15" i="11"/>
  <c r="B14" i="11" l="1"/>
  <c r="C4" i="10" s="1"/>
  <c r="E3" i="10"/>
  <c r="D19" i="10"/>
  <c r="E19" i="10"/>
  <c r="F19" i="10"/>
  <c r="G19" i="10"/>
  <c r="B2" i="11"/>
  <c r="B6" i="11"/>
  <c r="B7" i="11"/>
  <c r="B11" i="2"/>
  <c r="D3" i="10"/>
  <c r="C11" i="10"/>
  <c r="C9" i="10"/>
  <c r="G9" i="10" s="1"/>
  <c r="G8" i="10"/>
  <c r="F8" i="10"/>
  <c r="E8" i="10"/>
  <c r="D8" i="10"/>
  <c r="C8" i="10"/>
  <c r="D21" i="8"/>
  <c r="E21" i="8" s="1"/>
  <c r="F21" i="8" s="1"/>
  <c r="G21" i="8" s="1"/>
  <c r="C11" i="8"/>
  <c r="E11" i="8" s="1"/>
  <c r="E5" i="8"/>
  <c r="D5" i="8"/>
  <c r="C5" i="8"/>
  <c r="G3" i="8"/>
  <c r="G5" i="8" s="1"/>
  <c r="F3" i="8"/>
  <c r="F5" i="8" s="1"/>
  <c r="E3" i="8"/>
  <c r="D3" i="8"/>
  <c r="F65" i="7"/>
  <c r="F63" i="7"/>
  <c r="F62" i="7"/>
  <c r="F61" i="7"/>
  <c r="F60" i="7"/>
  <c r="F59" i="7"/>
  <c r="E32" i="7"/>
  <c r="E33" i="7" s="1"/>
  <c r="E40" i="7" s="1"/>
  <c r="G10" i="8" s="1"/>
  <c r="K16" i="7"/>
  <c r="F18" i="7" s="1"/>
  <c r="F65" i="6"/>
  <c r="F63" i="6"/>
  <c r="F62" i="6"/>
  <c r="F61" i="6"/>
  <c r="F60" i="6"/>
  <c r="F59" i="6"/>
  <c r="E33" i="6"/>
  <c r="E40" i="6" s="1"/>
  <c r="F10" i="8" s="1"/>
  <c r="E32" i="6"/>
  <c r="K16" i="6"/>
  <c r="F18" i="6" s="1"/>
  <c r="F65" i="5"/>
  <c r="F63" i="5"/>
  <c r="F62" i="5"/>
  <c r="F61" i="5"/>
  <c r="F60" i="5"/>
  <c r="F59" i="5"/>
  <c r="E32" i="5"/>
  <c r="E33" i="5" s="1"/>
  <c r="E40" i="5" s="1"/>
  <c r="E10" i="8" s="1"/>
  <c r="F18" i="5"/>
  <c r="K16" i="5"/>
  <c r="F65" i="4"/>
  <c r="F63" i="4"/>
  <c r="F62" i="4"/>
  <c r="F61" i="4"/>
  <c r="F60" i="4"/>
  <c r="F59" i="4"/>
  <c r="E32" i="4"/>
  <c r="E33" i="4" s="1"/>
  <c r="E40" i="4" s="1"/>
  <c r="D10" i="8" s="1"/>
  <c r="F18" i="4"/>
  <c r="F65" i="3"/>
  <c r="F64" i="3"/>
  <c r="F63" i="3"/>
  <c r="F62" i="3"/>
  <c r="F61" i="3"/>
  <c r="F60" i="3"/>
  <c r="F59" i="3"/>
  <c r="F66" i="3" s="1"/>
  <c r="E33" i="3"/>
  <c r="E40" i="3" s="1"/>
  <c r="C10" i="8" s="1"/>
  <c r="K19" i="3"/>
  <c r="F18" i="3"/>
  <c r="N17" i="3"/>
  <c r="B8" i="2"/>
  <c r="B5" i="2"/>
  <c r="F64" i="1"/>
  <c r="F63" i="1"/>
  <c r="F62" i="1"/>
  <c r="F61" i="1"/>
  <c r="F60" i="1"/>
  <c r="F59" i="1"/>
  <c r="F58" i="1"/>
  <c r="F65" i="1" s="1"/>
  <c r="E32" i="1"/>
  <c r="E39" i="1" s="1"/>
  <c r="F21" i="1"/>
  <c r="B16" i="11" l="1"/>
  <c r="B17" i="11" s="1"/>
  <c r="L19" i="3"/>
  <c r="F21" i="3" s="1"/>
  <c r="F22" i="3" s="1"/>
  <c r="B12" i="2"/>
  <c r="C5" i="10"/>
  <c r="D9" i="10"/>
  <c r="F9" i="10"/>
  <c r="C12" i="10"/>
  <c r="E9" i="10"/>
  <c r="D4" i="10"/>
  <c r="E4" i="10" s="1"/>
  <c r="F4" i="10" s="1"/>
  <c r="G4" i="10" s="1"/>
  <c r="C13" i="8"/>
  <c r="C14" i="8" s="1"/>
  <c r="F67" i="3"/>
  <c r="F66" i="1"/>
  <c r="C77" i="1" s="1"/>
  <c r="D77" i="1" s="1"/>
  <c r="F77" i="1" s="1"/>
  <c r="C6" i="8"/>
  <c r="D6" i="8" s="1"/>
  <c r="D11" i="8"/>
  <c r="F11" i="8"/>
  <c r="G11" i="8"/>
  <c r="C14" i="10" l="1"/>
  <c r="C15" i="10"/>
  <c r="F21" i="4"/>
  <c r="F21" i="5" s="1"/>
  <c r="F21" i="6" s="1"/>
  <c r="F21" i="7" s="1"/>
  <c r="F22" i="7" s="1"/>
  <c r="D64" i="7" s="1"/>
  <c r="F64" i="7" s="1"/>
  <c r="F66" i="7" s="1"/>
  <c r="G11" i="10" s="1"/>
  <c r="G12" i="10" s="1"/>
  <c r="C78" i="3"/>
  <c r="D78" i="3" s="1"/>
  <c r="F78" i="3" s="1"/>
  <c r="F22" i="6"/>
  <c r="D64" i="6" s="1"/>
  <c r="F64" i="6" s="1"/>
  <c r="F66" i="6" s="1"/>
  <c r="F11" i="10" s="1"/>
  <c r="F12" i="10" s="1"/>
  <c r="D5" i="10"/>
  <c r="E5" i="10"/>
  <c r="G5" i="10"/>
  <c r="F5" i="10"/>
  <c r="F13" i="8"/>
  <c r="F14" i="8" s="1"/>
  <c r="F67" i="6"/>
  <c r="C78" i="6" s="1"/>
  <c r="D78" i="6" s="1"/>
  <c r="F78" i="6" s="1"/>
  <c r="G13" i="8"/>
  <c r="G14" i="8" s="1"/>
  <c r="F67" i="7"/>
  <c r="C78" i="7" s="1"/>
  <c r="D78" i="7" s="1"/>
  <c r="F78" i="7" s="1"/>
  <c r="E6" i="8"/>
  <c r="D7" i="8"/>
  <c r="F22" i="4"/>
  <c r="D64" i="4" s="1"/>
  <c r="F64" i="4" s="1"/>
  <c r="F66" i="4" s="1"/>
  <c r="D11" i="10" s="1"/>
  <c r="D12" i="10" s="1"/>
  <c r="C7" i="8"/>
  <c r="F22" i="5" l="1"/>
  <c r="D64" i="5" s="1"/>
  <c r="F64" i="5" s="1"/>
  <c r="F66" i="5" s="1"/>
  <c r="E11" i="10" s="1"/>
  <c r="E12" i="10" s="1"/>
  <c r="F14" i="10"/>
  <c r="F6" i="10"/>
  <c r="G6" i="10"/>
  <c r="G14" i="10"/>
  <c r="E14" i="10"/>
  <c r="E6" i="10"/>
  <c r="D14" i="10"/>
  <c r="D6" i="10"/>
  <c r="C17" i="8"/>
  <c r="C16" i="8"/>
  <c r="D13" i="8"/>
  <c r="D14" i="8" s="1"/>
  <c r="D16" i="8" s="1"/>
  <c r="F67" i="4"/>
  <c r="C78" i="4" s="1"/>
  <c r="D78" i="4" s="1"/>
  <c r="F78" i="4" s="1"/>
  <c r="E13" i="8"/>
  <c r="E14" i="8" s="1"/>
  <c r="F67" i="5"/>
  <c r="C78" i="5" s="1"/>
  <c r="D78" i="5" s="1"/>
  <c r="F78" i="5" s="1"/>
  <c r="D8" i="8"/>
  <c r="F6" i="8"/>
  <c r="E7" i="8"/>
  <c r="G6" i="8" l="1"/>
  <c r="G7" i="8" s="1"/>
  <c r="F7" i="8"/>
  <c r="E16" i="8"/>
  <c r="E8" i="8"/>
  <c r="F16" i="8" l="1"/>
  <c r="F8" i="8"/>
  <c r="G16" i="8"/>
  <c r="G8" i="8"/>
</calcChain>
</file>

<file path=xl/sharedStrings.xml><?xml version="1.0" encoding="utf-8"?>
<sst xmlns="http://schemas.openxmlformats.org/spreadsheetml/2006/main" count="475" uniqueCount="164">
  <si>
    <t>Basic Financial Inventory</t>
  </si>
  <si>
    <t>How will you make &amp; spend money?</t>
  </si>
  <si>
    <t>This spreadsheet will help you estimate how much money your business will make, and spend.</t>
  </si>
  <si>
    <t>Annual Revenue</t>
  </si>
  <si>
    <t>Customer Annual Value</t>
  </si>
  <si>
    <t>How much revenue do you estimate your company will make for each customer?</t>
  </si>
  <si>
    <t>Product Price</t>
  </si>
  <si>
    <t>$</t>
  </si>
  <si>
    <t>The price of your product that you developed during your Science of Pricing exercise.</t>
  </si>
  <si>
    <t>Annual Purchases</t>
  </si>
  <si>
    <t># Purchases</t>
  </si>
  <si>
    <t>Number of purchases an average customer will make in a year.</t>
  </si>
  <si>
    <t>Total Revenue</t>
  </si>
  <si>
    <t>Annual Expenses</t>
  </si>
  <si>
    <t>Salaries</t>
  </si>
  <si>
    <t>What will your future full time employees salary (and yours) be?</t>
  </si>
  <si>
    <t>Average Salary</t>
  </si>
  <si>
    <t>Salary</t>
  </si>
  <si>
    <t>Team Size</t>
  </si>
  <si>
    <t>What's the average salary you and your team members will make each year?</t>
  </si>
  <si>
    <t>Subtotal - Salaries</t>
  </si>
  <si>
    <t>Taxes</t>
  </si>
  <si>
    <t>%</t>
  </si>
  <si>
    <r>
      <rPr>
        <sz val="12"/>
        <color rgb="FF000000"/>
        <rFont val="Roboto"/>
      </rPr>
      <t xml:space="preserve">Consider about </t>
    </r>
    <r>
      <rPr>
        <b/>
        <sz val="12"/>
        <color rgb="FF000000"/>
        <rFont val="Roboto"/>
      </rPr>
      <t>33%</t>
    </r>
    <r>
      <rPr>
        <sz val="12"/>
        <color rgb="FF000000"/>
        <rFont val="Roboto"/>
      </rPr>
      <t xml:space="preserve"> of the net salary (25% of gross salary) for: Federal taxes, Social Security and Medicare taxes.
</t>
    </r>
    <r>
      <rPr>
        <i/>
        <sz val="7"/>
        <color rgb="FF666666"/>
        <rFont val="Roboto"/>
      </rPr>
      <t xml:space="preserve">
</t>
    </r>
    <r>
      <rPr>
        <i/>
        <sz val="10"/>
        <color rgb="FF666666"/>
        <rFont val="Roboto"/>
      </rPr>
      <t xml:space="preserve">For specific and detailed calculations, expand the </t>
    </r>
    <r>
      <rPr>
        <b/>
        <sz val="12"/>
        <color rgb="FF666666"/>
        <rFont val="Roboto"/>
      </rPr>
      <t>+</t>
    </r>
    <r>
      <rPr>
        <i/>
        <sz val="10"/>
        <color rgb="FF666666"/>
        <rFont val="Roboto"/>
      </rPr>
      <t xml:space="preserve"> here on the left side column.</t>
    </r>
  </si>
  <si>
    <r>
      <rPr>
        <b/>
        <sz val="10"/>
        <color rgb="FF666666"/>
        <rFont val="Roboto"/>
      </rPr>
      <t xml:space="preserve">Calculator:
</t>
    </r>
    <r>
      <rPr>
        <i/>
        <u/>
        <sz val="10"/>
        <color rgb="FF1155CC"/>
        <rFont val="Roboto"/>
      </rPr>
      <t xml:space="preserve">https://salaryaftertax.com/us
</t>
    </r>
    <r>
      <rPr>
        <i/>
        <sz val="10"/>
        <color rgb="FF666666"/>
        <rFont val="Roboto"/>
      </rPr>
      <t xml:space="preserve">
</t>
    </r>
    <r>
      <rPr>
        <b/>
        <sz val="10"/>
        <color rgb="FF666666"/>
        <rFont val="Roboto"/>
      </rPr>
      <t xml:space="preserve">Resources:
</t>
    </r>
    <r>
      <rPr>
        <i/>
        <u/>
        <sz val="10"/>
        <color rgb="FF1155CC"/>
        <rFont val="Roboto"/>
      </rPr>
      <t>https://www.thebalancesmb.com/payroll-taxes-3193126
http://web.mit.edu/e-club/hadzima/how-much-does-an-employee-cost.html</t>
    </r>
  </si>
  <si>
    <t>Benefits Package</t>
  </si>
  <si>
    <r>
      <rPr>
        <sz val="12"/>
        <color rgb="FF000000"/>
        <rFont val="Roboto"/>
      </rPr>
      <t xml:space="preserve">Consider about </t>
    </r>
    <r>
      <rPr>
        <b/>
        <sz val="12"/>
        <color rgb="FF000000"/>
        <rFont val="Roboto"/>
      </rPr>
      <t>30%</t>
    </r>
    <r>
      <rPr>
        <sz val="12"/>
        <color rgb="FF000000"/>
        <rFont val="Roboto"/>
      </rPr>
      <t xml:space="preserve"> of the net salary for benefits costs, such as paid leave (vacation, holidays, sick leave and personal), average employer contribution to retirement, etc.</t>
    </r>
  </si>
  <si>
    <r>
      <rPr>
        <b/>
        <sz val="10"/>
        <color rgb="FF666666"/>
        <rFont val="Roboto"/>
      </rPr>
      <t xml:space="preserve">Resources:
</t>
    </r>
    <r>
      <rPr>
        <i/>
        <u/>
        <sz val="10"/>
        <color rgb="FF1155CC"/>
        <rFont val="Roboto"/>
      </rPr>
      <t>https://www.bankrate.com/finance/financial-literacy/the-value-of-employer-benefits.aspx
https://www.griffinbenefits.com/employeebenefitsblog/what-does-the-average-employer-spend-on-employee-benefits</t>
    </r>
  </si>
  <si>
    <t>Total Compensation</t>
  </si>
  <si>
    <t>Marketing</t>
  </si>
  <si>
    <t>How much do you estimate your company will need to spend to acquire customers?</t>
  </si>
  <si>
    <t>Marketing Costs</t>
  </si>
  <si>
    <r>
      <rPr>
        <sz val="12"/>
        <color rgb="FF000000"/>
        <rFont val="Roboto"/>
      </rPr>
      <t xml:space="preserve">How big do you expect your marketing costs to be? Examples:
$1k     - Logo, basic website, no app, no advertising
$50k   - Logo, basic website, with </t>
    </r>
    <r>
      <rPr>
        <b/>
        <sz val="12"/>
        <color rgb="FF000000"/>
        <rFont val="Roboto"/>
      </rPr>
      <t>advertising</t>
    </r>
    <r>
      <rPr>
        <sz val="12"/>
        <color rgb="FF000000"/>
        <rFont val="Roboto"/>
      </rPr>
      <t xml:space="preserve">
$100k - Logo, basic website and </t>
    </r>
    <r>
      <rPr>
        <b/>
        <sz val="12"/>
        <color rgb="FF000000"/>
        <rFont val="Roboto"/>
      </rPr>
      <t>app</t>
    </r>
    <r>
      <rPr>
        <sz val="12"/>
        <color rgb="FF000000"/>
        <rFont val="Roboto"/>
      </rPr>
      <t>, with</t>
    </r>
    <r>
      <rPr>
        <b/>
        <sz val="12"/>
        <color rgb="FF000000"/>
        <rFont val="Roboto"/>
      </rPr>
      <t xml:space="preserve"> </t>
    </r>
    <r>
      <rPr>
        <sz val="12"/>
        <color rgb="FF000000"/>
        <rFont val="Roboto"/>
      </rPr>
      <t xml:space="preserve">advertising
$500k - Logo, </t>
    </r>
    <r>
      <rPr>
        <b/>
        <sz val="12"/>
        <color rgb="FF000000"/>
        <rFont val="Roboto"/>
      </rPr>
      <t>complex</t>
    </r>
    <r>
      <rPr>
        <sz val="12"/>
        <color rgb="FF000000"/>
        <rFont val="Roboto"/>
      </rPr>
      <t xml:space="preserve"> website and app, with advertising
</t>
    </r>
  </si>
  <si>
    <r>
      <rPr>
        <b/>
        <sz val="18"/>
        <color rgb="FFFFFFFF"/>
        <rFont val="Oswald"/>
      </rPr>
      <t>6</t>
    </r>
    <r>
      <rPr>
        <sz val="18"/>
        <color rgb="FFFFFFFF"/>
        <rFont val="Oswald"/>
      </rPr>
      <t xml:space="preserve">. </t>
    </r>
    <r>
      <rPr>
        <b/>
        <sz val="18"/>
        <color theme="1"/>
        <rFont val="Oswald"/>
      </rPr>
      <t>Operational</t>
    </r>
  </si>
  <si>
    <t>How much do you estimate your company will spend to operate?</t>
  </si>
  <si>
    <t>Administration</t>
  </si>
  <si>
    <r>
      <rPr>
        <sz val="12"/>
        <color rgb="FF000000"/>
        <rFont val="Roboto"/>
      </rPr>
      <t xml:space="preserve">Legal, attorney, CPA/tax advisor and other professional consultants fees, insurances, etc... Consider about </t>
    </r>
    <r>
      <rPr>
        <b/>
        <sz val="12"/>
        <color rgb="FF000000"/>
        <rFont val="Roboto"/>
      </rPr>
      <t>$5000</t>
    </r>
    <r>
      <rPr>
        <sz val="12"/>
        <color rgb="FF000000"/>
        <rFont val="Roboto"/>
      </rPr>
      <t xml:space="preserve"> annually.
</t>
    </r>
    <r>
      <rPr>
        <i/>
        <sz val="7"/>
        <color rgb="FF666666"/>
        <rFont val="Roboto"/>
      </rPr>
      <t xml:space="preserve">
</t>
    </r>
    <r>
      <rPr>
        <i/>
        <sz val="10"/>
        <color rgb="FF666666"/>
        <rFont val="Roboto"/>
      </rPr>
      <t xml:space="preserve">For specific and detailed calculations, expand the </t>
    </r>
    <r>
      <rPr>
        <b/>
        <sz val="12"/>
        <color rgb="FF666666"/>
        <rFont val="Roboto"/>
      </rPr>
      <t>+</t>
    </r>
    <r>
      <rPr>
        <i/>
        <sz val="10"/>
        <color rgb="FF666666"/>
        <rFont val="Roboto"/>
      </rPr>
      <t xml:space="preserve"> here on the left side column.</t>
    </r>
  </si>
  <si>
    <r>
      <rPr>
        <i/>
        <sz val="10"/>
        <color rgb="FF666666"/>
        <rFont val="Roboto"/>
      </rPr>
      <t xml:space="preserve">According to </t>
    </r>
    <r>
      <rPr>
        <i/>
        <u/>
        <sz val="10"/>
        <color rgb="FF1155CC"/>
        <rFont val="Roboto"/>
      </rPr>
      <t>https://www.score.org/resource/infographic-look-accounting-and-taxes</t>
    </r>
    <r>
      <rPr>
        <i/>
        <sz val="10"/>
        <color rgb="FF666666"/>
        <rFont val="Roboto"/>
      </rPr>
      <t xml:space="preserve"> :
23% of small business owners spend $1,000 or less
</t>
    </r>
    <r>
      <rPr>
        <i/>
        <sz val="10"/>
        <color rgb="FF76A5AF"/>
        <rFont val="Roboto"/>
      </rPr>
      <t>31% Spend $1,000 to $5,000</t>
    </r>
    <r>
      <rPr>
        <i/>
        <sz val="10"/>
        <color rgb="FF666666"/>
        <rFont val="Roboto"/>
      </rPr>
      <t xml:space="preserve">
18% Spend $5,000 to $10,000
</t>
    </r>
    <r>
      <rPr>
        <i/>
        <sz val="10"/>
        <color rgb="FF76A5AF"/>
        <rFont val="Roboto"/>
      </rPr>
      <t xml:space="preserve">12% Spend $10,000 to $20,000
</t>
    </r>
    <r>
      <rPr>
        <i/>
        <sz val="10"/>
        <color rgb="FF666666"/>
        <rFont val="Roboto"/>
      </rPr>
      <t>16% Spend $20,000 or more</t>
    </r>
  </si>
  <si>
    <r>
      <rPr>
        <b/>
        <sz val="10"/>
        <color rgb="FF666666"/>
        <rFont val="Roboto"/>
      </rPr>
      <t>Resources:</t>
    </r>
    <r>
      <rPr>
        <sz val="10"/>
        <color rgb="FF666666"/>
        <rFont val="Roboto"/>
      </rPr>
      <t xml:space="preserve">
</t>
    </r>
    <r>
      <rPr>
        <b/>
        <sz val="10"/>
        <color rgb="FF666666"/>
        <rFont val="Roboto"/>
      </rPr>
      <t xml:space="preserve">CPA, Accountant
</t>
    </r>
    <r>
      <rPr>
        <i/>
        <u/>
        <sz val="10"/>
        <color rgb="FF1155CC"/>
        <rFont val="Roboto"/>
      </rPr>
      <t>https://www.cpapracticeadvisor.com/news/12300091/survey-shows-average-fees-for-accounting-tax-firm-services-for-2017
https://baranovcpa.ca/how-much-do-accountants-charge-for-a-small-business/</t>
    </r>
    <r>
      <rPr>
        <i/>
        <sz val="10"/>
        <color rgb="FF666666"/>
        <rFont val="Roboto"/>
      </rPr>
      <t xml:space="preserve">
</t>
    </r>
    <r>
      <rPr>
        <b/>
        <sz val="10"/>
        <color rgb="FF666666"/>
        <rFont val="Roboto"/>
      </rPr>
      <t>Insurances</t>
    </r>
    <r>
      <rPr>
        <i/>
        <sz val="10"/>
        <color rgb="FF666666"/>
        <rFont val="Roboto"/>
      </rPr>
      <t xml:space="preserve">
</t>
    </r>
    <r>
      <rPr>
        <i/>
        <u/>
        <sz val="10"/>
        <color rgb="FF1155CC"/>
        <rFont val="Roboto"/>
      </rPr>
      <t>https://www.insureon.com/small-business-insurance/general-liability/cost
https://fitsmallbusiness.com/commercial-property-insurance/</t>
    </r>
  </si>
  <si>
    <t>Operative</t>
  </si>
  <si>
    <r>
      <rPr>
        <sz val="12"/>
        <color rgb="FF000000"/>
        <rFont val="Roboto"/>
      </rPr>
      <t xml:space="preserve">Inventory, raw materials, parts, equipment lease payments, etc...
</t>
    </r>
    <r>
      <rPr>
        <i/>
        <sz val="10"/>
        <color rgb="FF666666"/>
        <rFont val="Roboto"/>
      </rPr>
      <t xml:space="preserve">
</t>
    </r>
    <r>
      <rPr>
        <i/>
        <sz val="10"/>
        <color rgb="FF666666"/>
        <rFont val="Roboto"/>
      </rPr>
      <t xml:space="preserve">For tips, expand the </t>
    </r>
    <r>
      <rPr>
        <b/>
        <sz val="12"/>
        <color rgb="FF666666"/>
        <rFont val="Roboto"/>
      </rPr>
      <t>+</t>
    </r>
    <r>
      <rPr>
        <i/>
        <sz val="10"/>
        <color rgb="FF666666"/>
        <rFont val="Roboto"/>
      </rPr>
      <t xml:space="preserve"> here on the left side column.</t>
    </r>
  </si>
  <si>
    <t>Since this information is very specifically related to your kind of business, you should google for it. For instance, if you are in the food industry, to have an idea, you could google for “how much inventory should a restaurant carry”, or "average inventory turnover ratio for restaurant food", and so on.</t>
  </si>
  <si>
    <t>Expense</t>
  </si>
  <si>
    <t>Unit Cost</t>
  </si>
  <si>
    <t>Units</t>
  </si>
  <si>
    <t>Total</t>
  </si>
  <si>
    <t>Subtotal - Operative Expenses</t>
  </si>
  <si>
    <t>Total Expenses</t>
  </si>
  <si>
    <t>Summary</t>
  </si>
  <si>
    <r>
      <rPr>
        <sz val="18"/>
        <color rgb="FF000000"/>
        <rFont val="Oswald"/>
      </rPr>
      <t>On average, you'll need this many new customers per...</t>
    </r>
    <r>
      <rPr>
        <i/>
        <sz val="12"/>
        <color rgb="FFFFFFFF"/>
        <rFont val="Oswald"/>
      </rPr>
      <t xml:space="preserve">
</t>
    </r>
    <r>
      <rPr>
        <i/>
        <sz val="10"/>
        <color rgb="FF777777"/>
        <rFont val="Roboto"/>
      </rPr>
      <t>to be profitable</t>
    </r>
  </si>
  <si>
    <t>Year</t>
  </si>
  <si>
    <t>Month</t>
  </si>
  <si>
    <t>Day</t>
  </si>
  <si>
    <t>Is that feasible?</t>
  </si>
  <si>
    <t>If not, make adjustments as necessary.</t>
  </si>
  <si>
    <t>avg credit card spend / month</t>
  </si>
  <si>
    <t># of credit card accounts in the U.S</t>
  </si>
  <si>
    <t>TAM</t>
  </si>
  <si>
    <t># of millennials</t>
  </si>
  <si>
    <t>SAM</t>
  </si>
  <si>
    <t>Projected Yr 1 users as % of SOM</t>
  </si>
  <si>
    <t>SOM</t>
  </si>
  <si>
    <t>fee that we would charge</t>
  </si>
  <si>
    <t>Price of Product=Average Monthly Credit Card Spend x Fee</t>
  </si>
  <si>
    <t>Product Price = 1% of average spend on CC</t>
  </si>
  <si>
    <t>Total Number of Customers</t>
  </si>
  <si>
    <r>
      <rPr>
        <sz val="12"/>
        <color rgb="FF000000"/>
        <rFont val="Roboto"/>
      </rPr>
      <t xml:space="preserve">Consider about </t>
    </r>
    <r>
      <rPr>
        <b/>
        <sz val="12"/>
        <color rgb="FF000000"/>
        <rFont val="Roboto"/>
      </rPr>
      <t>33%</t>
    </r>
    <r>
      <rPr>
        <sz val="12"/>
        <color rgb="FF000000"/>
        <rFont val="Roboto"/>
      </rPr>
      <t xml:space="preserve"> of the net salary (25% of gross salary) for: Federal taxes, Social Security and Medicare taxes.
</t>
    </r>
    <r>
      <rPr>
        <i/>
        <sz val="7"/>
        <color rgb="FF666666"/>
        <rFont val="Roboto"/>
      </rPr>
      <t xml:space="preserve">
</t>
    </r>
    <r>
      <rPr>
        <i/>
        <sz val="10"/>
        <color rgb="FF666666"/>
        <rFont val="Roboto"/>
      </rPr>
      <t xml:space="preserve">For specific and detailed calculations, expand the </t>
    </r>
    <r>
      <rPr>
        <b/>
        <sz val="12"/>
        <color rgb="FF666666"/>
        <rFont val="Roboto"/>
      </rPr>
      <t>+</t>
    </r>
    <r>
      <rPr>
        <i/>
        <sz val="10"/>
        <color rgb="FF666666"/>
        <rFont val="Roboto"/>
      </rPr>
      <t xml:space="preserve"> here on the left side column.</t>
    </r>
  </si>
  <si>
    <r>
      <rPr>
        <b/>
        <sz val="10"/>
        <color rgb="FF666666"/>
        <rFont val="Roboto"/>
      </rPr>
      <t xml:space="preserve">Resources:
</t>
    </r>
    <r>
      <rPr>
        <i/>
        <u/>
        <sz val="10"/>
        <color rgb="FF1155CC"/>
        <rFont val="Roboto"/>
      </rPr>
      <t>https://www.thebalancesmb.com/payroll-taxes-3193126
http://web.mit.edu/e-club/hadzima/how-much-does-an-employee-cost.html</t>
    </r>
  </si>
  <si>
    <r>
      <rPr>
        <sz val="12"/>
        <color rgb="FF000000"/>
        <rFont val="Roboto"/>
      </rPr>
      <t xml:space="preserve">Consider about </t>
    </r>
    <r>
      <rPr>
        <b/>
        <sz val="12"/>
        <color rgb="FF000000"/>
        <rFont val="Roboto"/>
      </rPr>
      <t>30%</t>
    </r>
    <r>
      <rPr>
        <sz val="12"/>
        <color rgb="FF000000"/>
        <rFont val="Roboto"/>
      </rPr>
      <t xml:space="preserve"> of the net salary for benefits costs, such as paid leave (vacation, holidays, sick leave and personal), average employer contribution to retirement, etc.</t>
    </r>
  </si>
  <si>
    <r>
      <rPr>
        <b/>
        <sz val="10"/>
        <color rgb="FF666666"/>
        <rFont val="Roboto"/>
      </rPr>
      <t xml:space="preserve">Resources:
</t>
    </r>
    <r>
      <rPr>
        <i/>
        <u/>
        <sz val="10"/>
        <color rgb="FF1155CC"/>
        <rFont val="Roboto"/>
      </rPr>
      <t>https://www.bankrate.com/finance/financial-literacy/the-value-of-employer-benefits.aspx
https://www.griffinbenefits.com/employeebenefitsblog/what-does-the-average-employer-spend-on-employee-benefits</t>
    </r>
  </si>
  <si>
    <r>
      <rPr>
        <sz val="12"/>
        <color rgb="FF000000"/>
        <rFont val="Roboto"/>
      </rPr>
      <t xml:space="preserve">How big do you expect your marketing costs to be? Examples:
    $1,000 - Get a logo and a basic website
  $50,000 - Get all of the above plus </t>
    </r>
    <r>
      <rPr>
        <b/>
        <sz val="12"/>
        <color rgb="FF000000"/>
        <rFont val="Roboto"/>
      </rPr>
      <t>advertising</t>
    </r>
    <r>
      <rPr>
        <sz val="12"/>
        <color rgb="FF000000"/>
        <rFont val="Roboto"/>
      </rPr>
      <t xml:space="preserve">
$100,000 - Get all of the above plus a </t>
    </r>
    <r>
      <rPr>
        <b/>
        <sz val="12"/>
        <color rgb="FF000000"/>
        <rFont val="Roboto"/>
      </rPr>
      <t>simple app</t>
    </r>
    <r>
      <rPr>
        <sz val="12"/>
        <color rgb="FF000000"/>
        <rFont val="Roboto"/>
      </rPr>
      <t xml:space="preserve">
$500,000 - Get all of the above plus a </t>
    </r>
    <r>
      <rPr>
        <b/>
        <sz val="12"/>
        <color rgb="FF000000"/>
        <rFont val="Roboto"/>
      </rPr>
      <t>complex</t>
    </r>
    <r>
      <rPr>
        <sz val="12"/>
        <color rgb="FF000000"/>
        <rFont val="Roboto"/>
      </rPr>
      <t xml:space="preserve"> </t>
    </r>
    <r>
      <rPr>
        <b/>
        <sz val="12"/>
        <color rgb="FF000000"/>
        <rFont val="Roboto"/>
      </rPr>
      <t>app</t>
    </r>
    <r>
      <rPr>
        <sz val="12"/>
        <color rgb="FF000000"/>
        <rFont val="Roboto"/>
      </rPr>
      <t xml:space="preserve">
</t>
    </r>
  </si>
  <si>
    <r>
      <rPr>
        <b/>
        <sz val="18"/>
        <color rgb="FFFFFFFF"/>
        <rFont val="Oswald"/>
      </rPr>
      <t>6</t>
    </r>
    <r>
      <rPr>
        <sz val="18"/>
        <color rgb="FFFFFFFF"/>
        <rFont val="Oswald"/>
      </rPr>
      <t xml:space="preserve">. </t>
    </r>
    <r>
      <rPr>
        <b/>
        <sz val="18"/>
        <color theme="1"/>
        <rFont val="Oswald"/>
      </rPr>
      <t>Operational</t>
    </r>
  </si>
  <si>
    <r>
      <rPr>
        <sz val="12"/>
        <color rgb="FF000000"/>
        <rFont val="Roboto"/>
      </rPr>
      <t xml:space="preserve">Legal, attorney, CPA/tax advisor and other professional consultants fees, insurances, etc... Consider about </t>
    </r>
    <r>
      <rPr>
        <b/>
        <sz val="12"/>
        <color rgb="FF000000"/>
        <rFont val="Roboto"/>
      </rPr>
      <t>$5000</t>
    </r>
    <r>
      <rPr>
        <sz val="12"/>
        <color rgb="FF000000"/>
        <rFont val="Roboto"/>
      </rPr>
      <t xml:space="preserve"> annually.
</t>
    </r>
    <r>
      <rPr>
        <i/>
        <sz val="7"/>
        <color rgb="FF666666"/>
        <rFont val="Roboto"/>
      </rPr>
      <t xml:space="preserve">
</t>
    </r>
    <r>
      <rPr>
        <i/>
        <sz val="10"/>
        <color rgb="FF666666"/>
        <rFont val="Roboto"/>
      </rPr>
      <t xml:space="preserve">For specific and detailed calculations, expand the </t>
    </r>
    <r>
      <rPr>
        <b/>
        <sz val="12"/>
        <color rgb="FF666666"/>
        <rFont val="Roboto"/>
      </rPr>
      <t>+</t>
    </r>
    <r>
      <rPr>
        <i/>
        <sz val="10"/>
        <color rgb="FF666666"/>
        <rFont val="Roboto"/>
      </rPr>
      <t xml:space="preserve"> here on the left side column.</t>
    </r>
  </si>
  <si>
    <r>
      <rPr>
        <i/>
        <sz val="10"/>
        <color rgb="FF666666"/>
        <rFont val="Roboto"/>
      </rPr>
      <t xml:space="preserve">According to </t>
    </r>
    <r>
      <rPr>
        <i/>
        <u/>
        <sz val="10"/>
        <color rgb="FF1155CC"/>
        <rFont val="Roboto"/>
      </rPr>
      <t>https://www.score.org/resource/infographic-look-accounting-and-taxes</t>
    </r>
    <r>
      <rPr>
        <i/>
        <sz val="10"/>
        <color rgb="FF666666"/>
        <rFont val="Roboto"/>
      </rPr>
      <t xml:space="preserve"> :
23% of small business owners spend $1,000 or less
</t>
    </r>
    <r>
      <rPr>
        <i/>
        <sz val="10"/>
        <color rgb="FF76A5AF"/>
        <rFont val="Roboto"/>
      </rPr>
      <t>31% Spend $1,000 to $5,000</t>
    </r>
    <r>
      <rPr>
        <i/>
        <sz val="10"/>
        <color rgb="FF666666"/>
        <rFont val="Roboto"/>
      </rPr>
      <t xml:space="preserve">
18% Spend $5,000 to $10,000
</t>
    </r>
    <r>
      <rPr>
        <i/>
        <sz val="10"/>
        <color rgb="FF76A5AF"/>
        <rFont val="Roboto"/>
      </rPr>
      <t xml:space="preserve">12% Spend $10,000 to $20,000
</t>
    </r>
    <r>
      <rPr>
        <i/>
        <sz val="10"/>
        <color rgb="FF666666"/>
        <rFont val="Roboto"/>
      </rPr>
      <t>16% Spend $20,000 or more</t>
    </r>
  </si>
  <si>
    <r>
      <rPr>
        <b/>
        <sz val="10"/>
        <color rgb="FF666666"/>
        <rFont val="Roboto"/>
      </rPr>
      <t>Resources:</t>
    </r>
    <r>
      <rPr>
        <sz val="10"/>
        <color rgb="FF666666"/>
        <rFont val="Roboto"/>
      </rPr>
      <t xml:space="preserve">
</t>
    </r>
    <r>
      <rPr>
        <b/>
        <sz val="10"/>
        <color rgb="FF666666"/>
        <rFont val="Roboto"/>
      </rPr>
      <t xml:space="preserve">CPA, Accountant
</t>
    </r>
    <r>
      <rPr>
        <i/>
        <u/>
        <sz val="10"/>
        <color rgb="FF1155CC"/>
        <rFont val="Roboto"/>
      </rPr>
      <t>https://www.cpapracticeadvisor.com/news/12300091/survey-shows-average-fees-for-accounting-tax-firm-services-for-2017
https://baranovcpa.ca/how-much-do-accountants-charge-for-a-small-business/</t>
    </r>
    <r>
      <rPr>
        <i/>
        <sz val="10"/>
        <color rgb="FF666666"/>
        <rFont val="Roboto"/>
      </rPr>
      <t xml:space="preserve">
</t>
    </r>
    <r>
      <rPr>
        <b/>
        <sz val="10"/>
        <color rgb="FF666666"/>
        <rFont val="Roboto"/>
      </rPr>
      <t>Insurances</t>
    </r>
    <r>
      <rPr>
        <i/>
        <sz val="10"/>
        <color rgb="FF666666"/>
        <rFont val="Roboto"/>
      </rPr>
      <t xml:space="preserve">
</t>
    </r>
    <r>
      <rPr>
        <i/>
        <u/>
        <sz val="10"/>
        <color rgb="FF1155CC"/>
        <rFont val="Roboto"/>
      </rPr>
      <t>https://www.insureon.com/small-business-insurance/general-liability/cost
https://fitsmallbusiness.com/commercial-property-insurance/</t>
    </r>
  </si>
  <si>
    <r>
      <rPr>
        <sz val="12"/>
        <color rgb="FF000000"/>
        <rFont val="Roboto"/>
      </rPr>
      <t xml:space="preserve">Inventory, raw materials, parts, equipment lease payments, etc...
</t>
    </r>
    <r>
      <rPr>
        <i/>
        <sz val="10"/>
        <color rgb="FF666666"/>
        <rFont val="Roboto"/>
      </rPr>
      <t xml:space="preserve">
</t>
    </r>
    <r>
      <rPr>
        <i/>
        <sz val="10"/>
        <color rgb="FF666666"/>
        <rFont val="Roboto"/>
      </rPr>
      <t xml:space="preserve">For tips, expand the </t>
    </r>
    <r>
      <rPr>
        <b/>
        <sz val="12"/>
        <color rgb="FF666666"/>
        <rFont val="Roboto"/>
      </rPr>
      <t>+</t>
    </r>
    <r>
      <rPr>
        <i/>
        <sz val="10"/>
        <color rgb="FF666666"/>
        <rFont val="Roboto"/>
      </rPr>
      <t xml:space="preserve"> here on the left side column.</t>
    </r>
  </si>
  <si>
    <t xml:space="preserve">Laptop </t>
  </si>
  <si>
    <t>CAC</t>
  </si>
  <si>
    <t>Office Setup</t>
  </si>
  <si>
    <t>IT Implementation</t>
  </si>
  <si>
    <t>IT Support</t>
  </si>
  <si>
    <t>HR Outsource</t>
  </si>
  <si>
    <r>
      <rPr>
        <sz val="18"/>
        <color rgb="FF000000"/>
        <rFont val="Oswald"/>
      </rPr>
      <t>On average, you'll need this many new customers per...</t>
    </r>
    <r>
      <rPr>
        <i/>
        <sz val="12"/>
        <color rgb="FFFFFFFF"/>
        <rFont val="Oswald"/>
      </rPr>
      <t xml:space="preserve">
</t>
    </r>
    <r>
      <rPr>
        <i/>
        <sz val="10"/>
        <color rgb="FF777777"/>
        <rFont val="Roboto"/>
      </rPr>
      <t>to be profitable</t>
    </r>
  </si>
  <si>
    <t>avg credit card spend / month (year 1)</t>
  </si>
  <si>
    <t>predicted inflation rate</t>
  </si>
  <si>
    <t>customer growth</t>
  </si>
  <si>
    <t>Team size increase + salary adjustment (10% salary increase)</t>
  </si>
  <si>
    <r>
      <rPr>
        <sz val="12"/>
        <color rgb="FF000000"/>
        <rFont val="Roboto"/>
      </rPr>
      <t xml:space="preserve">Consider about </t>
    </r>
    <r>
      <rPr>
        <b/>
        <sz val="12"/>
        <color rgb="FF000000"/>
        <rFont val="Roboto"/>
      </rPr>
      <t>33%</t>
    </r>
    <r>
      <rPr>
        <sz val="12"/>
        <color rgb="FF000000"/>
        <rFont val="Roboto"/>
      </rPr>
      <t xml:space="preserve"> of the net salary (25% of gross salary) for: Federal taxes, Social Security and Medicare taxes.
</t>
    </r>
    <r>
      <rPr>
        <i/>
        <sz val="7"/>
        <color rgb="FF666666"/>
        <rFont val="Roboto"/>
      </rPr>
      <t xml:space="preserve">
</t>
    </r>
    <r>
      <rPr>
        <i/>
        <sz val="10"/>
        <color rgb="FF666666"/>
        <rFont val="Roboto"/>
      </rPr>
      <t xml:space="preserve">For specific and detailed calculations, expand the </t>
    </r>
    <r>
      <rPr>
        <b/>
        <sz val="12"/>
        <color rgb="FF666666"/>
        <rFont val="Roboto"/>
      </rPr>
      <t>+</t>
    </r>
    <r>
      <rPr>
        <i/>
        <sz val="10"/>
        <color rgb="FF666666"/>
        <rFont val="Roboto"/>
      </rPr>
      <t xml:space="preserve"> here on the left side column.</t>
    </r>
  </si>
  <si>
    <r>
      <rPr>
        <b/>
        <sz val="10"/>
        <color rgb="FF666666"/>
        <rFont val="Roboto"/>
      </rPr>
      <t xml:space="preserve">Resources:
</t>
    </r>
    <r>
      <rPr>
        <i/>
        <u/>
        <sz val="10"/>
        <color rgb="FF1155CC"/>
        <rFont val="Roboto"/>
      </rPr>
      <t>https://www.thebalancesmb.com/payroll-taxes-3193126
http://web.mit.edu/e-club/hadzima/how-much-does-an-employee-cost.html</t>
    </r>
  </si>
  <si>
    <r>
      <rPr>
        <sz val="12"/>
        <color rgb="FF000000"/>
        <rFont val="Roboto"/>
      </rPr>
      <t xml:space="preserve">Consider about </t>
    </r>
    <r>
      <rPr>
        <b/>
        <sz val="12"/>
        <color rgb="FF000000"/>
        <rFont val="Roboto"/>
      </rPr>
      <t>30%</t>
    </r>
    <r>
      <rPr>
        <sz val="12"/>
        <color rgb="FF000000"/>
        <rFont val="Roboto"/>
      </rPr>
      <t xml:space="preserve"> of the net salary for benefits costs, such as paid leave (vacation, holidays, sick leave and personal), average employer contribution to retirement, etc.</t>
    </r>
  </si>
  <si>
    <r>
      <rPr>
        <b/>
        <sz val="10"/>
        <color rgb="FF666666"/>
        <rFont val="Roboto"/>
      </rPr>
      <t xml:space="preserve">Resources:
</t>
    </r>
    <r>
      <rPr>
        <i/>
        <u/>
        <sz val="10"/>
        <color rgb="FF1155CC"/>
        <rFont val="Roboto"/>
      </rPr>
      <t>https://www.bankrate.com/finance/financial-literacy/the-value-of-employer-benefits.aspx
https://www.griffinbenefits.com/employeebenefitsblog/what-does-the-average-employer-spend-on-employee-benefits</t>
    </r>
  </si>
  <si>
    <r>
      <rPr>
        <sz val="12"/>
        <color rgb="FF000000"/>
        <rFont val="Roboto"/>
      </rPr>
      <t xml:space="preserve">How big do you expect your marketing costs to be? Examples:
    $1,000 - Get a logo and a basic website
  $50,000 - Get all of the above plus </t>
    </r>
    <r>
      <rPr>
        <b/>
        <sz val="12"/>
        <color rgb="FF000000"/>
        <rFont val="Roboto"/>
      </rPr>
      <t>advertising</t>
    </r>
    <r>
      <rPr>
        <sz val="12"/>
        <color rgb="FF000000"/>
        <rFont val="Roboto"/>
      </rPr>
      <t xml:space="preserve">
$100,000 - Get all of the above plus a </t>
    </r>
    <r>
      <rPr>
        <b/>
        <sz val="12"/>
        <color rgb="FF000000"/>
        <rFont val="Roboto"/>
      </rPr>
      <t>simple app</t>
    </r>
    <r>
      <rPr>
        <sz val="12"/>
        <color rgb="FF000000"/>
        <rFont val="Roboto"/>
      </rPr>
      <t xml:space="preserve">
$500,000 - Get all of the above plus a </t>
    </r>
    <r>
      <rPr>
        <b/>
        <sz val="12"/>
        <color rgb="FF000000"/>
        <rFont val="Roboto"/>
      </rPr>
      <t>complex</t>
    </r>
    <r>
      <rPr>
        <sz val="12"/>
        <color rgb="FF000000"/>
        <rFont val="Roboto"/>
      </rPr>
      <t xml:space="preserve"> </t>
    </r>
    <r>
      <rPr>
        <b/>
        <sz val="12"/>
        <color rgb="FF000000"/>
        <rFont val="Roboto"/>
      </rPr>
      <t>app</t>
    </r>
    <r>
      <rPr>
        <sz val="12"/>
        <color rgb="FF000000"/>
        <rFont val="Roboto"/>
      </rPr>
      <t xml:space="preserve">
</t>
    </r>
  </si>
  <si>
    <r>
      <rPr>
        <b/>
        <sz val="18"/>
        <color rgb="FFFFFFFF"/>
        <rFont val="Oswald"/>
      </rPr>
      <t>6</t>
    </r>
    <r>
      <rPr>
        <sz val="18"/>
        <color rgb="FFFFFFFF"/>
        <rFont val="Oswald"/>
      </rPr>
      <t xml:space="preserve">. </t>
    </r>
    <r>
      <rPr>
        <b/>
        <sz val="18"/>
        <color theme="1"/>
        <rFont val="Oswald"/>
      </rPr>
      <t>Operational</t>
    </r>
  </si>
  <si>
    <r>
      <rPr>
        <sz val="12"/>
        <color rgb="FF000000"/>
        <rFont val="Roboto"/>
      </rPr>
      <t xml:space="preserve">Legal, attorney, CPA/tax advisor and other professional consultants fees, insurances, etc... Consider about </t>
    </r>
    <r>
      <rPr>
        <b/>
        <sz val="12"/>
        <color rgb="FF000000"/>
        <rFont val="Roboto"/>
      </rPr>
      <t>$5000</t>
    </r>
    <r>
      <rPr>
        <sz val="12"/>
        <color rgb="FF000000"/>
        <rFont val="Roboto"/>
      </rPr>
      <t xml:space="preserve"> annually.
</t>
    </r>
    <r>
      <rPr>
        <i/>
        <sz val="7"/>
        <color rgb="FF666666"/>
        <rFont val="Roboto"/>
      </rPr>
      <t xml:space="preserve">
</t>
    </r>
    <r>
      <rPr>
        <i/>
        <sz val="10"/>
        <color rgb="FF666666"/>
        <rFont val="Roboto"/>
      </rPr>
      <t xml:space="preserve">For specific and detailed calculations, expand the </t>
    </r>
    <r>
      <rPr>
        <b/>
        <sz val="12"/>
        <color rgb="FF666666"/>
        <rFont val="Roboto"/>
      </rPr>
      <t>+</t>
    </r>
    <r>
      <rPr>
        <i/>
        <sz val="10"/>
        <color rgb="FF666666"/>
        <rFont val="Roboto"/>
      </rPr>
      <t xml:space="preserve"> here on the left side column.</t>
    </r>
  </si>
  <si>
    <r>
      <rPr>
        <i/>
        <sz val="10"/>
        <color rgb="FF666666"/>
        <rFont val="Roboto"/>
      </rPr>
      <t xml:space="preserve">According to </t>
    </r>
    <r>
      <rPr>
        <i/>
        <u/>
        <sz val="10"/>
        <color rgb="FF1155CC"/>
        <rFont val="Roboto"/>
      </rPr>
      <t>https://www.score.org/resource/infographic-look-accounting-and-taxes</t>
    </r>
    <r>
      <rPr>
        <i/>
        <sz val="10"/>
        <color rgb="FF666666"/>
        <rFont val="Roboto"/>
      </rPr>
      <t xml:space="preserve"> :
23% of small business owners spend $1,000 or less
</t>
    </r>
    <r>
      <rPr>
        <i/>
        <sz val="10"/>
        <color rgb="FF76A5AF"/>
        <rFont val="Roboto"/>
      </rPr>
      <t>31% Spend $1,000 to $5,000</t>
    </r>
    <r>
      <rPr>
        <i/>
        <sz val="10"/>
        <color rgb="FF666666"/>
        <rFont val="Roboto"/>
      </rPr>
      <t xml:space="preserve">
18% Spend $5,000 to $10,000
</t>
    </r>
    <r>
      <rPr>
        <i/>
        <sz val="10"/>
        <color rgb="FF76A5AF"/>
        <rFont val="Roboto"/>
      </rPr>
      <t xml:space="preserve">12% Spend $10,000 to $20,000
</t>
    </r>
    <r>
      <rPr>
        <i/>
        <sz val="10"/>
        <color rgb="FF666666"/>
        <rFont val="Roboto"/>
      </rPr>
      <t>16% Spend $20,000 or more</t>
    </r>
  </si>
  <si>
    <r>
      <rPr>
        <b/>
        <sz val="10"/>
        <color rgb="FF666666"/>
        <rFont val="Roboto"/>
      </rPr>
      <t>Resources:</t>
    </r>
    <r>
      <rPr>
        <sz val="10"/>
        <color rgb="FF666666"/>
        <rFont val="Roboto"/>
      </rPr>
      <t xml:space="preserve">
</t>
    </r>
    <r>
      <rPr>
        <b/>
        <sz val="10"/>
        <color rgb="FF666666"/>
        <rFont val="Roboto"/>
      </rPr>
      <t xml:space="preserve">CPA, Accountant
</t>
    </r>
    <r>
      <rPr>
        <i/>
        <u/>
        <sz val="10"/>
        <color rgb="FF1155CC"/>
        <rFont val="Roboto"/>
      </rPr>
      <t>https://www.cpapracticeadvisor.com/news/12300091/survey-shows-average-fees-for-accounting-tax-firm-services-for-2017
https://baranovcpa.ca/how-much-do-accountants-charge-for-a-small-business/</t>
    </r>
    <r>
      <rPr>
        <i/>
        <sz val="10"/>
        <color rgb="FF666666"/>
        <rFont val="Roboto"/>
      </rPr>
      <t xml:space="preserve">
</t>
    </r>
    <r>
      <rPr>
        <b/>
        <sz val="10"/>
        <color rgb="FF666666"/>
        <rFont val="Roboto"/>
      </rPr>
      <t>Insurances</t>
    </r>
    <r>
      <rPr>
        <i/>
        <sz val="10"/>
        <color rgb="FF666666"/>
        <rFont val="Roboto"/>
      </rPr>
      <t xml:space="preserve">
</t>
    </r>
    <r>
      <rPr>
        <i/>
        <u/>
        <sz val="10"/>
        <color rgb="FF1155CC"/>
        <rFont val="Roboto"/>
      </rPr>
      <t>https://www.insureon.com/small-business-insurance/general-liability/cost
https://fitsmallbusiness.com/commercial-property-insurance/</t>
    </r>
  </si>
  <si>
    <r>
      <rPr>
        <sz val="12"/>
        <color rgb="FF000000"/>
        <rFont val="Roboto"/>
      </rPr>
      <t xml:space="preserve">Inventory, raw materials, parts, equipment lease payments, etc...
</t>
    </r>
    <r>
      <rPr>
        <i/>
        <sz val="10"/>
        <color rgb="FF666666"/>
        <rFont val="Roboto"/>
      </rPr>
      <t xml:space="preserve">
</t>
    </r>
    <r>
      <rPr>
        <i/>
        <sz val="10"/>
        <color rgb="FF666666"/>
        <rFont val="Roboto"/>
      </rPr>
      <t xml:space="preserve">For tips, expand the </t>
    </r>
    <r>
      <rPr>
        <b/>
        <sz val="12"/>
        <color rgb="FF666666"/>
        <rFont val="Roboto"/>
      </rPr>
      <t>+</t>
    </r>
    <r>
      <rPr>
        <i/>
        <sz val="10"/>
        <color rgb="FF666666"/>
        <rFont val="Roboto"/>
      </rPr>
      <t xml:space="preserve"> here on the left side column.</t>
    </r>
  </si>
  <si>
    <t xml:space="preserve">laptop </t>
  </si>
  <si>
    <t>R&amp;D</t>
  </si>
  <si>
    <r>
      <rPr>
        <sz val="18"/>
        <color rgb="FF000000"/>
        <rFont val="Oswald"/>
      </rPr>
      <t>On average, you'll need this many new customers per...</t>
    </r>
    <r>
      <rPr>
        <i/>
        <sz val="12"/>
        <color rgb="FFFFFFFF"/>
        <rFont val="Oswald"/>
      </rPr>
      <t xml:space="preserve">
</t>
    </r>
    <r>
      <rPr>
        <i/>
        <sz val="10"/>
        <color rgb="FF777777"/>
        <rFont val="Roboto"/>
      </rPr>
      <t>to be profitable</t>
    </r>
  </si>
  <si>
    <r>
      <rPr>
        <sz val="12"/>
        <color rgb="FF000000"/>
        <rFont val="Roboto"/>
      </rPr>
      <t xml:space="preserve">Consider about </t>
    </r>
    <r>
      <rPr>
        <b/>
        <sz val="12"/>
        <color rgb="FF000000"/>
        <rFont val="Roboto"/>
      </rPr>
      <t>33%</t>
    </r>
    <r>
      <rPr>
        <sz val="12"/>
        <color rgb="FF000000"/>
        <rFont val="Roboto"/>
      </rPr>
      <t xml:space="preserve"> of the net salary (25% of gross salary) for: Federal taxes, Social Security and Medicare taxes.
</t>
    </r>
    <r>
      <rPr>
        <i/>
        <sz val="7"/>
        <color rgb="FF666666"/>
        <rFont val="Roboto"/>
      </rPr>
      <t xml:space="preserve">
</t>
    </r>
    <r>
      <rPr>
        <i/>
        <sz val="10"/>
        <color rgb="FF666666"/>
        <rFont val="Roboto"/>
      </rPr>
      <t xml:space="preserve">For specific and detailed calculations, expand the </t>
    </r>
    <r>
      <rPr>
        <b/>
        <sz val="12"/>
        <color rgb="FF666666"/>
        <rFont val="Roboto"/>
      </rPr>
      <t>+</t>
    </r>
    <r>
      <rPr>
        <i/>
        <sz val="10"/>
        <color rgb="FF666666"/>
        <rFont val="Roboto"/>
      </rPr>
      <t xml:space="preserve"> here on the left side column.</t>
    </r>
  </si>
  <si>
    <r>
      <rPr>
        <b/>
        <sz val="10"/>
        <color rgb="FF666666"/>
        <rFont val="Roboto"/>
      </rPr>
      <t xml:space="preserve">Resources:
</t>
    </r>
    <r>
      <rPr>
        <i/>
        <u/>
        <sz val="10"/>
        <color rgb="FF1155CC"/>
        <rFont val="Roboto"/>
      </rPr>
      <t>https://www.thebalancesmb.com/payroll-taxes-3193126
http://web.mit.edu/e-club/hadzima/how-much-does-an-employee-cost.html</t>
    </r>
  </si>
  <si>
    <r>
      <rPr>
        <sz val="12"/>
        <color rgb="FF000000"/>
        <rFont val="Roboto"/>
      </rPr>
      <t xml:space="preserve">Consider about </t>
    </r>
    <r>
      <rPr>
        <b/>
        <sz val="12"/>
        <color rgb="FF000000"/>
        <rFont val="Roboto"/>
      </rPr>
      <t>30%</t>
    </r>
    <r>
      <rPr>
        <sz val="12"/>
        <color rgb="FF000000"/>
        <rFont val="Roboto"/>
      </rPr>
      <t xml:space="preserve"> of the net salary for benefits costs, such as paid leave (vacation, holidays, sick leave and personal), average employer contribution to retirement, etc.</t>
    </r>
  </si>
  <si>
    <r>
      <rPr>
        <b/>
        <sz val="10"/>
        <color rgb="FF666666"/>
        <rFont val="Roboto"/>
      </rPr>
      <t xml:space="preserve">Resources:
</t>
    </r>
    <r>
      <rPr>
        <i/>
        <u/>
        <sz val="10"/>
        <color rgb="FF1155CC"/>
        <rFont val="Roboto"/>
      </rPr>
      <t>https://www.bankrate.com/finance/financial-literacy/the-value-of-employer-benefits.aspx
https://www.griffinbenefits.com/employeebenefitsblog/what-does-the-average-employer-spend-on-employee-benefits</t>
    </r>
  </si>
  <si>
    <r>
      <rPr>
        <sz val="12"/>
        <color rgb="FF000000"/>
        <rFont val="Roboto"/>
      </rPr>
      <t xml:space="preserve">How big do you expect your marketing costs to be? Examples:
    $1,000 - Get a logo and a basic website
  $50,000 - Get all of the above plus </t>
    </r>
    <r>
      <rPr>
        <b/>
        <sz val="12"/>
        <color rgb="FF000000"/>
        <rFont val="Roboto"/>
      </rPr>
      <t>advertising</t>
    </r>
    <r>
      <rPr>
        <sz val="12"/>
        <color rgb="FF000000"/>
        <rFont val="Roboto"/>
      </rPr>
      <t xml:space="preserve">
$100,000 - Get all of the above plus a </t>
    </r>
    <r>
      <rPr>
        <b/>
        <sz val="12"/>
        <color rgb="FF000000"/>
        <rFont val="Roboto"/>
      </rPr>
      <t>simple app</t>
    </r>
    <r>
      <rPr>
        <sz val="12"/>
        <color rgb="FF000000"/>
        <rFont val="Roboto"/>
      </rPr>
      <t xml:space="preserve">
$500,000 - Get all of the above plus a </t>
    </r>
    <r>
      <rPr>
        <b/>
        <sz val="12"/>
        <color rgb="FF000000"/>
        <rFont val="Roboto"/>
      </rPr>
      <t>complex</t>
    </r>
    <r>
      <rPr>
        <sz val="12"/>
        <color rgb="FF000000"/>
        <rFont val="Roboto"/>
      </rPr>
      <t xml:space="preserve"> </t>
    </r>
    <r>
      <rPr>
        <b/>
        <sz val="12"/>
        <color rgb="FF000000"/>
        <rFont val="Roboto"/>
      </rPr>
      <t>app</t>
    </r>
    <r>
      <rPr>
        <sz val="12"/>
        <color rgb="FF000000"/>
        <rFont val="Roboto"/>
      </rPr>
      <t xml:space="preserve">
</t>
    </r>
  </si>
  <si>
    <r>
      <rPr>
        <b/>
        <sz val="18"/>
        <color rgb="FFFFFFFF"/>
        <rFont val="Oswald"/>
      </rPr>
      <t>6</t>
    </r>
    <r>
      <rPr>
        <sz val="18"/>
        <color rgb="FFFFFFFF"/>
        <rFont val="Oswald"/>
      </rPr>
      <t xml:space="preserve">. </t>
    </r>
    <r>
      <rPr>
        <b/>
        <sz val="18"/>
        <color theme="1"/>
        <rFont val="Oswald"/>
      </rPr>
      <t>Operational</t>
    </r>
  </si>
  <si>
    <r>
      <rPr>
        <sz val="12"/>
        <color rgb="FF000000"/>
        <rFont val="Roboto"/>
      </rPr>
      <t xml:space="preserve">Legal, attorney, CPA/tax advisor and other professional consultants fees, insurances, etc... Consider about </t>
    </r>
    <r>
      <rPr>
        <b/>
        <sz val="12"/>
        <color rgb="FF000000"/>
        <rFont val="Roboto"/>
      </rPr>
      <t>$5000</t>
    </r>
    <r>
      <rPr>
        <sz val="12"/>
        <color rgb="FF000000"/>
        <rFont val="Roboto"/>
      </rPr>
      <t xml:space="preserve"> annually.
</t>
    </r>
    <r>
      <rPr>
        <i/>
        <sz val="7"/>
        <color rgb="FF666666"/>
        <rFont val="Roboto"/>
      </rPr>
      <t xml:space="preserve">
</t>
    </r>
    <r>
      <rPr>
        <i/>
        <sz val="10"/>
        <color rgb="FF666666"/>
        <rFont val="Roboto"/>
      </rPr>
      <t xml:space="preserve">For specific and detailed calculations, expand the </t>
    </r>
    <r>
      <rPr>
        <b/>
        <sz val="12"/>
        <color rgb="FF666666"/>
        <rFont val="Roboto"/>
      </rPr>
      <t>+</t>
    </r>
    <r>
      <rPr>
        <i/>
        <sz val="10"/>
        <color rgb="FF666666"/>
        <rFont val="Roboto"/>
      </rPr>
      <t xml:space="preserve"> here on the left side column.</t>
    </r>
  </si>
  <si>
    <r>
      <rPr>
        <i/>
        <sz val="10"/>
        <color rgb="FF666666"/>
        <rFont val="Roboto"/>
      </rPr>
      <t xml:space="preserve">According to </t>
    </r>
    <r>
      <rPr>
        <i/>
        <u/>
        <sz val="10"/>
        <color rgb="FF1155CC"/>
        <rFont val="Roboto"/>
      </rPr>
      <t>https://www.score.org/resource/infographic-look-accounting-and-taxes</t>
    </r>
    <r>
      <rPr>
        <i/>
        <sz val="10"/>
        <color rgb="FF666666"/>
        <rFont val="Roboto"/>
      </rPr>
      <t xml:space="preserve"> :
23% of small business owners spend $1,000 or less
</t>
    </r>
    <r>
      <rPr>
        <i/>
        <sz val="10"/>
        <color rgb="FF76A5AF"/>
        <rFont val="Roboto"/>
      </rPr>
      <t>31% Spend $1,000 to $5,000</t>
    </r>
    <r>
      <rPr>
        <i/>
        <sz val="10"/>
        <color rgb="FF666666"/>
        <rFont val="Roboto"/>
      </rPr>
      <t xml:space="preserve">
18% Spend $5,000 to $10,000
</t>
    </r>
    <r>
      <rPr>
        <i/>
        <sz val="10"/>
        <color rgb="FF76A5AF"/>
        <rFont val="Roboto"/>
      </rPr>
      <t xml:space="preserve">12% Spend $10,000 to $20,000
</t>
    </r>
    <r>
      <rPr>
        <i/>
        <sz val="10"/>
        <color rgb="FF666666"/>
        <rFont val="Roboto"/>
      </rPr>
      <t>16% Spend $20,000 or more</t>
    </r>
  </si>
  <si>
    <r>
      <rPr>
        <b/>
        <sz val="10"/>
        <color rgb="FF666666"/>
        <rFont val="Roboto"/>
      </rPr>
      <t>Resources:</t>
    </r>
    <r>
      <rPr>
        <sz val="10"/>
        <color rgb="FF666666"/>
        <rFont val="Roboto"/>
      </rPr>
      <t xml:space="preserve">
</t>
    </r>
    <r>
      <rPr>
        <b/>
        <sz val="10"/>
        <color rgb="FF666666"/>
        <rFont val="Roboto"/>
      </rPr>
      <t xml:space="preserve">CPA, Accountant
</t>
    </r>
    <r>
      <rPr>
        <i/>
        <u/>
        <sz val="10"/>
        <color rgb="FF1155CC"/>
        <rFont val="Roboto"/>
      </rPr>
      <t>https://www.cpapracticeadvisor.com/news/12300091/survey-shows-average-fees-for-accounting-tax-firm-services-for-2017
https://baranovcpa.ca/how-much-do-accountants-charge-for-a-small-business/</t>
    </r>
    <r>
      <rPr>
        <i/>
        <sz val="10"/>
        <color rgb="FF666666"/>
        <rFont val="Roboto"/>
      </rPr>
      <t xml:space="preserve">
</t>
    </r>
    <r>
      <rPr>
        <b/>
        <sz val="10"/>
        <color rgb="FF666666"/>
        <rFont val="Roboto"/>
      </rPr>
      <t>Insurances</t>
    </r>
    <r>
      <rPr>
        <i/>
        <sz val="10"/>
        <color rgb="FF666666"/>
        <rFont val="Roboto"/>
      </rPr>
      <t xml:space="preserve">
</t>
    </r>
    <r>
      <rPr>
        <i/>
        <u/>
        <sz val="10"/>
        <color rgb="FF1155CC"/>
        <rFont val="Roboto"/>
      </rPr>
      <t>https://www.insureon.com/small-business-insurance/general-liability/cost
https://fitsmallbusiness.com/commercial-property-insurance/</t>
    </r>
  </si>
  <si>
    <r>
      <rPr>
        <sz val="12"/>
        <color rgb="FF000000"/>
        <rFont val="Roboto"/>
      </rPr>
      <t xml:space="preserve">Inventory, raw materials, parts, equipment lease payments, etc...
</t>
    </r>
    <r>
      <rPr>
        <i/>
        <sz val="10"/>
        <color rgb="FF666666"/>
        <rFont val="Roboto"/>
      </rPr>
      <t xml:space="preserve">
</t>
    </r>
    <r>
      <rPr>
        <i/>
        <sz val="10"/>
        <color rgb="FF666666"/>
        <rFont val="Roboto"/>
      </rPr>
      <t xml:space="preserve">For tips, expand the </t>
    </r>
    <r>
      <rPr>
        <b/>
        <sz val="12"/>
        <color rgb="FF666666"/>
        <rFont val="Roboto"/>
      </rPr>
      <t>+</t>
    </r>
    <r>
      <rPr>
        <i/>
        <sz val="10"/>
        <color rgb="FF666666"/>
        <rFont val="Roboto"/>
      </rPr>
      <t xml:space="preserve"> here on the left side column.</t>
    </r>
  </si>
  <si>
    <r>
      <rPr>
        <sz val="18"/>
        <color rgb="FF000000"/>
        <rFont val="Oswald"/>
      </rPr>
      <t>On average, you'll need this many new customers per...</t>
    </r>
    <r>
      <rPr>
        <i/>
        <sz val="12"/>
        <color rgb="FFFFFFFF"/>
        <rFont val="Oswald"/>
      </rPr>
      <t xml:space="preserve">
</t>
    </r>
    <r>
      <rPr>
        <i/>
        <sz val="10"/>
        <color rgb="FF777777"/>
        <rFont val="Roboto"/>
      </rPr>
      <t>to be profitable</t>
    </r>
  </si>
  <si>
    <r>
      <rPr>
        <sz val="12"/>
        <color rgb="FF000000"/>
        <rFont val="Roboto"/>
      </rPr>
      <t xml:space="preserve">Consider about </t>
    </r>
    <r>
      <rPr>
        <b/>
        <sz val="12"/>
        <color rgb="FF000000"/>
        <rFont val="Roboto"/>
      </rPr>
      <t>33%</t>
    </r>
    <r>
      <rPr>
        <sz val="12"/>
        <color rgb="FF000000"/>
        <rFont val="Roboto"/>
      </rPr>
      <t xml:space="preserve"> of the net salary (25% of gross salary) for: Federal taxes, Social Security and Medicare taxes.
</t>
    </r>
    <r>
      <rPr>
        <i/>
        <sz val="7"/>
        <color rgb="FF666666"/>
        <rFont val="Roboto"/>
      </rPr>
      <t xml:space="preserve">
</t>
    </r>
    <r>
      <rPr>
        <i/>
        <sz val="10"/>
        <color rgb="FF666666"/>
        <rFont val="Roboto"/>
      </rPr>
      <t xml:space="preserve">For specific and detailed calculations, expand the </t>
    </r>
    <r>
      <rPr>
        <b/>
        <sz val="12"/>
        <color rgb="FF666666"/>
        <rFont val="Roboto"/>
      </rPr>
      <t>+</t>
    </r>
    <r>
      <rPr>
        <i/>
        <sz val="10"/>
        <color rgb="FF666666"/>
        <rFont val="Roboto"/>
      </rPr>
      <t xml:space="preserve"> here on the left side column.</t>
    </r>
  </si>
  <si>
    <r>
      <rPr>
        <b/>
        <sz val="10"/>
        <color rgb="FF666666"/>
        <rFont val="Roboto"/>
      </rPr>
      <t xml:space="preserve">Resources:
</t>
    </r>
    <r>
      <rPr>
        <i/>
        <u/>
        <sz val="10"/>
        <color rgb="FF1155CC"/>
        <rFont val="Roboto"/>
      </rPr>
      <t>https://www.thebalancesmb.com/payroll-taxes-3193126
http://web.mit.edu/e-club/hadzima/how-much-does-an-employee-cost.html</t>
    </r>
  </si>
  <si>
    <r>
      <rPr>
        <sz val="12"/>
        <color rgb="FF000000"/>
        <rFont val="Roboto"/>
      </rPr>
      <t xml:space="preserve">Consider about </t>
    </r>
    <r>
      <rPr>
        <b/>
        <sz val="12"/>
        <color rgb="FF000000"/>
        <rFont val="Roboto"/>
      </rPr>
      <t>30%</t>
    </r>
    <r>
      <rPr>
        <sz val="12"/>
        <color rgb="FF000000"/>
        <rFont val="Roboto"/>
      </rPr>
      <t xml:space="preserve"> of the net salary for benefits costs, such as paid leave (vacation, holidays, sick leave and personal), average employer contribution to retirement, etc.</t>
    </r>
  </si>
  <si>
    <r>
      <rPr>
        <b/>
        <sz val="10"/>
        <color rgb="FF666666"/>
        <rFont val="Roboto"/>
      </rPr>
      <t xml:space="preserve">Resources:
</t>
    </r>
    <r>
      <rPr>
        <i/>
        <u/>
        <sz val="10"/>
        <color rgb="FF1155CC"/>
        <rFont val="Roboto"/>
      </rPr>
      <t>https://www.bankrate.com/finance/financial-literacy/the-value-of-employer-benefits.aspx
https://www.griffinbenefits.com/employeebenefitsblog/what-does-the-average-employer-spend-on-employee-benefits</t>
    </r>
  </si>
  <si>
    <r>
      <rPr>
        <sz val="12"/>
        <color rgb="FF000000"/>
        <rFont val="Roboto"/>
      </rPr>
      <t xml:space="preserve">How big do you expect your marketing costs to be? Examples:
    $1,000 - Get a logo and a basic website
  $50,000 - Get all of the above plus </t>
    </r>
    <r>
      <rPr>
        <b/>
        <sz val="12"/>
        <color rgb="FF000000"/>
        <rFont val="Roboto"/>
      </rPr>
      <t>advertising</t>
    </r>
    <r>
      <rPr>
        <sz val="12"/>
        <color rgb="FF000000"/>
        <rFont val="Roboto"/>
      </rPr>
      <t xml:space="preserve">
$100,000 - Get all of the above plus a </t>
    </r>
    <r>
      <rPr>
        <b/>
        <sz val="12"/>
        <color rgb="FF000000"/>
        <rFont val="Roboto"/>
      </rPr>
      <t>simple app</t>
    </r>
    <r>
      <rPr>
        <sz val="12"/>
        <color rgb="FF000000"/>
        <rFont val="Roboto"/>
      </rPr>
      <t xml:space="preserve">
$500,000 - Get all of the above plus a </t>
    </r>
    <r>
      <rPr>
        <b/>
        <sz val="12"/>
        <color rgb="FF000000"/>
        <rFont val="Roboto"/>
      </rPr>
      <t>complex</t>
    </r>
    <r>
      <rPr>
        <sz val="12"/>
        <color rgb="FF000000"/>
        <rFont val="Roboto"/>
      </rPr>
      <t xml:space="preserve"> </t>
    </r>
    <r>
      <rPr>
        <b/>
        <sz val="12"/>
        <color rgb="FF000000"/>
        <rFont val="Roboto"/>
      </rPr>
      <t>app</t>
    </r>
    <r>
      <rPr>
        <sz val="12"/>
        <color rgb="FF000000"/>
        <rFont val="Roboto"/>
      </rPr>
      <t xml:space="preserve">
</t>
    </r>
  </si>
  <si>
    <r>
      <rPr>
        <b/>
        <sz val="18"/>
        <color rgb="FFFFFFFF"/>
        <rFont val="Oswald"/>
      </rPr>
      <t>6</t>
    </r>
    <r>
      <rPr>
        <sz val="18"/>
        <color rgb="FFFFFFFF"/>
        <rFont val="Oswald"/>
      </rPr>
      <t xml:space="preserve">. </t>
    </r>
    <r>
      <rPr>
        <b/>
        <sz val="18"/>
        <color theme="1"/>
        <rFont val="Oswald"/>
      </rPr>
      <t>Operational</t>
    </r>
  </si>
  <si>
    <r>
      <rPr>
        <sz val="12"/>
        <color rgb="FF000000"/>
        <rFont val="Roboto"/>
      </rPr>
      <t xml:space="preserve">Legal, attorney, CPA/tax advisor and other professional consultants fees, insurances, etc... Consider about </t>
    </r>
    <r>
      <rPr>
        <b/>
        <sz val="12"/>
        <color rgb="FF000000"/>
        <rFont val="Roboto"/>
      </rPr>
      <t>$5000</t>
    </r>
    <r>
      <rPr>
        <sz val="12"/>
        <color rgb="FF000000"/>
        <rFont val="Roboto"/>
      </rPr>
      <t xml:space="preserve"> annually.
</t>
    </r>
    <r>
      <rPr>
        <i/>
        <sz val="7"/>
        <color rgb="FF666666"/>
        <rFont val="Roboto"/>
      </rPr>
      <t xml:space="preserve">
</t>
    </r>
    <r>
      <rPr>
        <i/>
        <sz val="10"/>
        <color rgb="FF666666"/>
        <rFont val="Roboto"/>
      </rPr>
      <t xml:space="preserve">For specific and detailed calculations, expand the </t>
    </r>
    <r>
      <rPr>
        <b/>
        <sz val="12"/>
        <color rgb="FF666666"/>
        <rFont val="Roboto"/>
      </rPr>
      <t>+</t>
    </r>
    <r>
      <rPr>
        <i/>
        <sz val="10"/>
        <color rgb="FF666666"/>
        <rFont val="Roboto"/>
      </rPr>
      <t xml:space="preserve"> here on the left side column.</t>
    </r>
  </si>
  <si>
    <r>
      <rPr>
        <i/>
        <sz val="10"/>
        <color rgb="FF666666"/>
        <rFont val="Roboto"/>
      </rPr>
      <t xml:space="preserve">According to </t>
    </r>
    <r>
      <rPr>
        <i/>
        <u/>
        <sz val="10"/>
        <color rgb="FF1155CC"/>
        <rFont val="Roboto"/>
      </rPr>
      <t>https://www.score.org/resource/infographic-look-accounting-and-taxes</t>
    </r>
    <r>
      <rPr>
        <i/>
        <sz val="10"/>
        <color rgb="FF666666"/>
        <rFont val="Roboto"/>
      </rPr>
      <t xml:space="preserve"> :
23% of small business owners spend $1,000 or less
</t>
    </r>
    <r>
      <rPr>
        <i/>
        <sz val="10"/>
        <color rgb="FF76A5AF"/>
        <rFont val="Roboto"/>
      </rPr>
      <t>31% Spend $1,000 to $5,000</t>
    </r>
    <r>
      <rPr>
        <i/>
        <sz val="10"/>
        <color rgb="FF666666"/>
        <rFont val="Roboto"/>
      </rPr>
      <t xml:space="preserve">
18% Spend $5,000 to $10,000
</t>
    </r>
    <r>
      <rPr>
        <i/>
        <sz val="10"/>
        <color rgb="FF76A5AF"/>
        <rFont val="Roboto"/>
      </rPr>
      <t xml:space="preserve">12% Spend $10,000 to $20,000
</t>
    </r>
    <r>
      <rPr>
        <i/>
        <sz val="10"/>
        <color rgb="FF666666"/>
        <rFont val="Roboto"/>
      </rPr>
      <t>16% Spend $20,000 or more</t>
    </r>
  </si>
  <si>
    <r>
      <rPr>
        <b/>
        <sz val="10"/>
        <color rgb="FF666666"/>
        <rFont val="Roboto"/>
      </rPr>
      <t>Resources:</t>
    </r>
    <r>
      <rPr>
        <sz val="10"/>
        <color rgb="FF666666"/>
        <rFont val="Roboto"/>
      </rPr>
      <t xml:space="preserve">
</t>
    </r>
    <r>
      <rPr>
        <b/>
        <sz val="10"/>
        <color rgb="FF666666"/>
        <rFont val="Roboto"/>
      </rPr>
      <t xml:space="preserve">CPA, Accountant
</t>
    </r>
    <r>
      <rPr>
        <i/>
        <u/>
        <sz val="10"/>
        <color rgb="FF1155CC"/>
        <rFont val="Roboto"/>
      </rPr>
      <t>https://www.cpapracticeadvisor.com/news/12300091/survey-shows-average-fees-for-accounting-tax-firm-services-for-2017
https://baranovcpa.ca/how-much-do-accountants-charge-for-a-small-business/</t>
    </r>
    <r>
      <rPr>
        <i/>
        <sz val="10"/>
        <color rgb="FF666666"/>
        <rFont val="Roboto"/>
      </rPr>
      <t xml:space="preserve">
</t>
    </r>
    <r>
      <rPr>
        <b/>
        <sz val="10"/>
        <color rgb="FF666666"/>
        <rFont val="Roboto"/>
      </rPr>
      <t>Insurances</t>
    </r>
    <r>
      <rPr>
        <i/>
        <sz val="10"/>
        <color rgb="FF666666"/>
        <rFont val="Roboto"/>
      </rPr>
      <t xml:space="preserve">
</t>
    </r>
    <r>
      <rPr>
        <i/>
        <u/>
        <sz val="10"/>
        <color rgb="FF1155CC"/>
        <rFont val="Roboto"/>
      </rPr>
      <t>https://www.insureon.com/small-business-insurance/general-liability/cost
https://fitsmallbusiness.com/commercial-property-insurance/</t>
    </r>
  </si>
  <si>
    <r>
      <rPr>
        <sz val="12"/>
        <color rgb="FF000000"/>
        <rFont val="Roboto"/>
      </rPr>
      <t xml:space="preserve">Inventory, raw materials, parts, equipment lease payments, etc...
</t>
    </r>
    <r>
      <rPr>
        <i/>
        <sz val="10"/>
        <color rgb="FF666666"/>
        <rFont val="Roboto"/>
      </rPr>
      <t xml:space="preserve">
</t>
    </r>
    <r>
      <rPr>
        <i/>
        <sz val="10"/>
        <color rgb="FF666666"/>
        <rFont val="Roboto"/>
      </rPr>
      <t xml:space="preserve">For tips, expand the </t>
    </r>
    <r>
      <rPr>
        <b/>
        <sz val="12"/>
        <color rgb="FF666666"/>
        <rFont val="Roboto"/>
      </rPr>
      <t>+</t>
    </r>
    <r>
      <rPr>
        <i/>
        <sz val="10"/>
        <color rgb="FF666666"/>
        <rFont val="Roboto"/>
      </rPr>
      <t xml:space="preserve"> here on the left side column.</t>
    </r>
  </si>
  <si>
    <r>
      <rPr>
        <sz val="18"/>
        <color rgb="FF000000"/>
        <rFont val="Oswald"/>
      </rPr>
      <t>On average, you'll need this many new customers per...</t>
    </r>
    <r>
      <rPr>
        <i/>
        <sz val="12"/>
        <color rgb="FFFFFFFF"/>
        <rFont val="Oswald"/>
      </rPr>
      <t xml:space="preserve">
</t>
    </r>
    <r>
      <rPr>
        <i/>
        <sz val="10"/>
        <color rgb="FF777777"/>
        <rFont val="Roboto"/>
      </rPr>
      <t>to be profitable</t>
    </r>
  </si>
  <si>
    <t>avg credit card spend / month year 1</t>
  </si>
  <si>
    <r>
      <rPr>
        <sz val="12"/>
        <color rgb="FF000000"/>
        <rFont val="Roboto"/>
      </rPr>
      <t xml:space="preserve">Consider about </t>
    </r>
    <r>
      <rPr>
        <b/>
        <sz val="12"/>
        <color rgb="FF000000"/>
        <rFont val="Roboto"/>
      </rPr>
      <t>33%</t>
    </r>
    <r>
      <rPr>
        <sz val="12"/>
        <color rgb="FF000000"/>
        <rFont val="Roboto"/>
      </rPr>
      <t xml:space="preserve"> of the net salary (25% of gross salary) for: Federal taxes, Social Security and Medicare taxes.
</t>
    </r>
    <r>
      <rPr>
        <i/>
        <sz val="7"/>
        <color rgb="FF666666"/>
        <rFont val="Roboto"/>
      </rPr>
      <t xml:space="preserve">
</t>
    </r>
    <r>
      <rPr>
        <i/>
        <sz val="10"/>
        <color rgb="FF666666"/>
        <rFont val="Roboto"/>
      </rPr>
      <t xml:space="preserve">For specific and detailed calculations, expand the </t>
    </r>
    <r>
      <rPr>
        <b/>
        <sz val="12"/>
        <color rgb="FF666666"/>
        <rFont val="Roboto"/>
      </rPr>
      <t>+</t>
    </r>
    <r>
      <rPr>
        <i/>
        <sz val="10"/>
        <color rgb="FF666666"/>
        <rFont val="Roboto"/>
      </rPr>
      <t xml:space="preserve"> here on the left side column.</t>
    </r>
  </si>
  <si>
    <r>
      <rPr>
        <b/>
        <sz val="10"/>
        <color rgb="FF666666"/>
        <rFont val="Roboto"/>
      </rPr>
      <t xml:space="preserve">Resources:
</t>
    </r>
    <r>
      <rPr>
        <i/>
        <u/>
        <sz val="10"/>
        <color rgb="FF1155CC"/>
        <rFont val="Roboto"/>
      </rPr>
      <t>https://www.thebalancesmb.com/payroll-taxes-3193126
http://web.mit.edu/e-club/hadzima/how-much-does-an-employee-cost.html</t>
    </r>
  </si>
  <si>
    <r>
      <rPr>
        <sz val="12"/>
        <color rgb="FF000000"/>
        <rFont val="Roboto"/>
      </rPr>
      <t xml:space="preserve">Consider about </t>
    </r>
    <r>
      <rPr>
        <b/>
        <sz val="12"/>
        <color rgb="FF000000"/>
        <rFont val="Roboto"/>
      </rPr>
      <t>30%</t>
    </r>
    <r>
      <rPr>
        <sz val="12"/>
        <color rgb="FF000000"/>
        <rFont val="Roboto"/>
      </rPr>
      <t xml:space="preserve"> of the net salary for benefits costs, such as paid leave (vacation, holidays, sick leave and personal), average employer contribution to retirement, etc.</t>
    </r>
  </si>
  <si>
    <r>
      <rPr>
        <b/>
        <sz val="10"/>
        <color rgb="FF666666"/>
        <rFont val="Roboto"/>
      </rPr>
      <t xml:space="preserve">Resources:
</t>
    </r>
    <r>
      <rPr>
        <i/>
        <u/>
        <sz val="10"/>
        <color rgb="FF1155CC"/>
        <rFont val="Roboto"/>
      </rPr>
      <t>https://www.bankrate.com/finance/financial-literacy/the-value-of-employer-benefits.aspx
https://www.griffinbenefits.com/employeebenefitsblog/what-does-the-average-employer-spend-on-employee-benefits</t>
    </r>
  </si>
  <si>
    <r>
      <rPr>
        <sz val="12"/>
        <color rgb="FF000000"/>
        <rFont val="Roboto"/>
      </rPr>
      <t xml:space="preserve">How big do you expect your marketing costs to be? Examples:
    $1,000 - Get a logo and a basic website
  $50,000 - Get all of the above plus </t>
    </r>
    <r>
      <rPr>
        <b/>
        <sz val="12"/>
        <color rgb="FF000000"/>
        <rFont val="Roboto"/>
      </rPr>
      <t>advertising</t>
    </r>
    <r>
      <rPr>
        <sz val="12"/>
        <color rgb="FF000000"/>
        <rFont val="Roboto"/>
      </rPr>
      <t xml:space="preserve">
$100,000 - Get all of the above plus a </t>
    </r>
    <r>
      <rPr>
        <b/>
        <sz val="12"/>
        <color rgb="FF000000"/>
        <rFont val="Roboto"/>
      </rPr>
      <t>simple app</t>
    </r>
    <r>
      <rPr>
        <sz val="12"/>
        <color rgb="FF000000"/>
        <rFont val="Roboto"/>
      </rPr>
      <t xml:space="preserve">
$500,000 - Get all of the above plus a </t>
    </r>
    <r>
      <rPr>
        <b/>
        <sz val="12"/>
        <color rgb="FF000000"/>
        <rFont val="Roboto"/>
      </rPr>
      <t>complex</t>
    </r>
    <r>
      <rPr>
        <sz val="12"/>
        <color rgb="FF000000"/>
        <rFont val="Roboto"/>
      </rPr>
      <t xml:space="preserve"> </t>
    </r>
    <r>
      <rPr>
        <b/>
        <sz val="12"/>
        <color rgb="FF000000"/>
        <rFont val="Roboto"/>
      </rPr>
      <t>app</t>
    </r>
    <r>
      <rPr>
        <sz val="12"/>
        <color rgb="FF000000"/>
        <rFont val="Roboto"/>
      </rPr>
      <t xml:space="preserve">
</t>
    </r>
  </si>
  <si>
    <r>
      <rPr>
        <b/>
        <sz val="18"/>
        <color rgb="FFFFFFFF"/>
        <rFont val="Oswald"/>
      </rPr>
      <t>6</t>
    </r>
    <r>
      <rPr>
        <sz val="18"/>
        <color rgb="FFFFFFFF"/>
        <rFont val="Oswald"/>
      </rPr>
      <t xml:space="preserve">. </t>
    </r>
    <r>
      <rPr>
        <b/>
        <sz val="18"/>
        <color theme="1"/>
        <rFont val="Oswald"/>
      </rPr>
      <t>Operational</t>
    </r>
  </si>
  <si>
    <r>
      <rPr>
        <sz val="12"/>
        <color rgb="FF000000"/>
        <rFont val="Roboto"/>
      </rPr>
      <t xml:space="preserve">Legal, attorney, CPA/tax advisor and other professional consultants fees, insurances, etc... Consider about </t>
    </r>
    <r>
      <rPr>
        <b/>
        <sz val="12"/>
        <color rgb="FF000000"/>
        <rFont val="Roboto"/>
      </rPr>
      <t>$5000</t>
    </r>
    <r>
      <rPr>
        <sz val="12"/>
        <color rgb="FF000000"/>
        <rFont val="Roboto"/>
      </rPr>
      <t xml:space="preserve"> annually.
</t>
    </r>
    <r>
      <rPr>
        <i/>
        <sz val="7"/>
        <color rgb="FF666666"/>
        <rFont val="Roboto"/>
      </rPr>
      <t xml:space="preserve">
</t>
    </r>
    <r>
      <rPr>
        <i/>
        <sz val="10"/>
        <color rgb="FF666666"/>
        <rFont val="Roboto"/>
      </rPr>
      <t xml:space="preserve">For specific and detailed calculations, expand the </t>
    </r>
    <r>
      <rPr>
        <b/>
        <sz val="12"/>
        <color rgb="FF666666"/>
        <rFont val="Roboto"/>
      </rPr>
      <t>+</t>
    </r>
    <r>
      <rPr>
        <i/>
        <sz val="10"/>
        <color rgb="FF666666"/>
        <rFont val="Roboto"/>
      </rPr>
      <t xml:space="preserve"> here on the left side column.</t>
    </r>
  </si>
  <si>
    <r>
      <rPr>
        <i/>
        <sz val="10"/>
        <color rgb="FF666666"/>
        <rFont val="Roboto"/>
      </rPr>
      <t xml:space="preserve">According to </t>
    </r>
    <r>
      <rPr>
        <i/>
        <u/>
        <sz val="10"/>
        <color rgb="FF1155CC"/>
        <rFont val="Roboto"/>
      </rPr>
      <t>https://www.score.org/resource/infographic-look-accounting-and-taxes</t>
    </r>
    <r>
      <rPr>
        <i/>
        <sz val="10"/>
        <color rgb="FF666666"/>
        <rFont val="Roboto"/>
      </rPr>
      <t xml:space="preserve"> :
23% of small business owners spend $1,000 or less
</t>
    </r>
    <r>
      <rPr>
        <i/>
        <sz val="10"/>
        <color rgb="FF76A5AF"/>
        <rFont val="Roboto"/>
      </rPr>
      <t>31% Spend $1,000 to $5,000</t>
    </r>
    <r>
      <rPr>
        <i/>
        <sz val="10"/>
        <color rgb="FF666666"/>
        <rFont val="Roboto"/>
      </rPr>
      <t xml:space="preserve">
18% Spend $5,000 to $10,000
</t>
    </r>
    <r>
      <rPr>
        <i/>
        <sz val="10"/>
        <color rgb="FF76A5AF"/>
        <rFont val="Roboto"/>
      </rPr>
      <t xml:space="preserve">12% Spend $10,000 to $20,000
</t>
    </r>
    <r>
      <rPr>
        <i/>
        <sz val="10"/>
        <color rgb="FF666666"/>
        <rFont val="Roboto"/>
      </rPr>
      <t>16% Spend $20,000 or more</t>
    </r>
  </si>
  <si>
    <r>
      <rPr>
        <b/>
        <sz val="10"/>
        <color rgb="FF666666"/>
        <rFont val="Roboto"/>
      </rPr>
      <t>Resources:</t>
    </r>
    <r>
      <rPr>
        <sz val="10"/>
        <color rgb="FF666666"/>
        <rFont val="Roboto"/>
      </rPr>
      <t xml:space="preserve">
</t>
    </r>
    <r>
      <rPr>
        <b/>
        <sz val="10"/>
        <color rgb="FF666666"/>
        <rFont val="Roboto"/>
      </rPr>
      <t xml:space="preserve">CPA, Accountant
</t>
    </r>
    <r>
      <rPr>
        <i/>
        <u/>
        <sz val="10"/>
        <color rgb="FF1155CC"/>
        <rFont val="Roboto"/>
      </rPr>
      <t>https://www.cpapracticeadvisor.com/news/12300091/survey-shows-average-fees-for-accounting-tax-firm-services-for-2017
https://baranovcpa.ca/how-much-do-accountants-charge-for-a-small-business/</t>
    </r>
    <r>
      <rPr>
        <i/>
        <sz val="10"/>
        <color rgb="FF666666"/>
        <rFont val="Roboto"/>
      </rPr>
      <t xml:space="preserve">
</t>
    </r>
    <r>
      <rPr>
        <b/>
        <sz val="10"/>
        <color rgb="FF666666"/>
        <rFont val="Roboto"/>
      </rPr>
      <t>Insurances</t>
    </r>
    <r>
      <rPr>
        <i/>
        <sz val="10"/>
        <color rgb="FF666666"/>
        <rFont val="Roboto"/>
      </rPr>
      <t xml:space="preserve">
</t>
    </r>
    <r>
      <rPr>
        <i/>
        <u/>
        <sz val="10"/>
        <color rgb="FF1155CC"/>
        <rFont val="Roboto"/>
      </rPr>
      <t>https://www.insureon.com/small-business-insurance/general-liability/cost
https://fitsmallbusiness.com/commercial-property-insurance/</t>
    </r>
  </si>
  <si>
    <r>
      <rPr>
        <sz val="12"/>
        <color rgb="FF000000"/>
        <rFont val="Roboto"/>
      </rPr>
      <t xml:space="preserve">Inventory, raw materials, parts, equipment lease payments, etc...
</t>
    </r>
    <r>
      <rPr>
        <i/>
        <sz val="10"/>
        <color rgb="FF666666"/>
        <rFont val="Roboto"/>
      </rPr>
      <t xml:space="preserve">
</t>
    </r>
    <r>
      <rPr>
        <i/>
        <sz val="10"/>
        <color rgb="FF666666"/>
        <rFont val="Roboto"/>
      </rPr>
      <t xml:space="preserve">For tips, expand the </t>
    </r>
    <r>
      <rPr>
        <b/>
        <sz val="12"/>
        <color rgb="FF666666"/>
        <rFont val="Roboto"/>
      </rPr>
      <t>+</t>
    </r>
    <r>
      <rPr>
        <i/>
        <sz val="10"/>
        <color rgb="FF666666"/>
        <rFont val="Roboto"/>
      </rPr>
      <t xml:space="preserve"> here on the left side column.</t>
    </r>
  </si>
  <si>
    <r>
      <rPr>
        <sz val="18"/>
        <color rgb="FF000000"/>
        <rFont val="Oswald"/>
      </rPr>
      <t>On average, you'll need this many new customers per...</t>
    </r>
    <r>
      <rPr>
        <i/>
        <sz val="12"/>
        <color rgb="FFFFFFFF"/>
        <rFont val="Oswald"/>
      </rPr>
      <t xml:space="preserve">
</t>
    </r>
    <r>
      <rPr>
        <i/>
        <sz val="10"/>
        <color rgb="FF777777"/>
        <rFont val="Roboto"/>
      </rPr>
      <t>to be profitable</t>
    </r>
  </si>
  <si>
    <t>Year 1</t>
  </si>
  <si>
    <t>Year 2</t>
  </si>
  <si>
    <t>Year 3</t>
  </si>
  <si>
    <t>Year 4</t>
  </si>
  <si>
    <t>Year 5</t>
  </si>
  <si>
    <t>Average Monthly Credit Card Spend</t>
  </si>
  <si>
    <t>Fee</t>
  </si>
  <si>
    <t>Revenue Growth (%)</t>
  </si>
  <si>
    <t>N/A</t>
  </si>
  <si>
    <t>Compensation</t>
  </si>
  <si>
    <t>Admin</t>
  </si>
  <si>
    <t>Other Operating Expenses</t>
  </si>
  <si>
    <t>Net Profit</t>
  </si>
  <si>
    <t>Number of purchases per year</t>
  </si>
  <si>
    <t>Predicted Inflation Rate</t>
  </si>
  <si>
    <t>Customer Growth</t>
  </si>
  <si>
    <t>Marketing Cost Options</t>
  </si>
  <si>
    <t>Subscription Fee</t>
  </si>
  <si>
    <t>avg # of CCs / consumer</t>
  </si>
  <si>
    <t>avg # of credit card holders</t>
  </si>
  <si>
    <t>annual subscription (year 1)</t>
  </si>
  <si>
    <t>https://www.finder.com/credit-card-statistics#source</t>
  </si>
  <si>
    <t>share of millennials &amp; older gen z who have CCs</t>
  </si>
  <si>
    <t># of millennials &amp; older genz w/ CCs</t>
  </si>
  <si>
    <t>SOM (users)</t>
  </si>
  <si>
    <t>SOM ($)</t>
  </si>
  <si>
    <t>Source for customer growth</t>
  </si>
  <si>
    <t>https://www.linkedin.com/pulse/growth-rate-startups-united-states-eqvista/</t>
  </si>
  <si>
    <t>projected year 1 revenue</t>
  </si>
  <si>
    <t>share of SOM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</si>
</sst>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quot;$&quot;#,##0"/>
    <numFmt numFmtId="165" formatCode="&quot;$&quot;#,##0.00"/>
    <numFmt numFmtId="166" formatCode="0.0%"/>
    <numFmt numFmtId="167" formatCode="_(* #,##0_);_(* \(#,##0\);_(* &quot;-&quot;??_);_(@_)"/>
  </numFmts>
  <fonts count="57">
    <font>
      <sz val="10"/>
      <color rgb="FF000000"/>
      <name val="Arial"/>
      <scheme val="minor"/>
    </font>
    <font>
      <sz val="10"/>
      <color theme="1"/>
      <name val="Arial"/>
    </font>
    <font>
      <sz val="10"/>
      <color rgb="FF000000"/>
      <name val="Arial"/>
    </font>
    <font>
      <sz val="24"/>
      <color rgb="FF000000"/>
      <name val="Oswald"/>
    </font>
    <font>
      <i/>
      <sz val="12"/>
      <color rgb="FFFFBF00"/>
      <name val="Oswald"/>
    </font>
    <font>
      <sz val="12"/>
      <color rgb="FF434343"/>
      <name val="Roboto"/>
    </font>
    <font>
      <sz val="10"/>
      <name val="Arial"/>
    </font>
    <font>
      <sz val="24"/>
      <color rgb="FF434343"/>
      <name val="Oswald"/>
    </font>
    <font>
      <b/>
      <sz val="14"/>
      <color theme="1"/>
      <name val="Oswald"/>
    </font>
    <font>
      <sz val="18"/>
      <color theme="1"/>
      <name val="Oswald"/>
    </font>
    <font>
      <b/>
      <sz val="10"/>
      <color theme="1"/>
      <name val="Arial"/>
    </font>
    <font>
      <i/>
      <sz val="10"/>
      <color rgb="FF434343"/>
      <name val="Roboto"/>
    </font>
    <font>
      <sz val="12"/>
      <color rgb="FF000000"/>
      <name val="Roboto"/>
    </font>
    <font>
      <b/>
      <sz val="10"/>
      <color rgb="FFFFCE00"/>
      <name val="Oswald"/>
    </font>
    <font>
      <b/>
      <sz val="12"/>
      <color rgb="FFFFCE00"/>
      <name val="Oswald"/>
    </font>
    <font>
      <b/>
      <i/>
      <sz val="11"/>
      <color rgb="FFFFCE00"/>
      <name val="Roboto"/>
    </font>
    <font>
      <b/>
      <i/>
      <sz val="10"/>
      <color rgb="FFFFCE00"/>
      <name val="Roboto"/>
    </font>
    <font>
      <b/>
      <i/>
      <sz val="10"/>
      <color rgb="FF000000"/>
      <name val="Roboto"/>
    </font>
    <font>
      <i/>
      <sz val="10"/>
      <color rgb="FF666666"/>
      <name val="Roboto"/>
    </font>
    <font>
      <sz val="14"/>
      <color theme="1"/>
      <name val="Oswald"/>
    </font>
    <font>
      <b/>
      <sz val="10"/>
      <color rgb="FF000000"/>
      <name val="Arial"/>
    </font>
    <font>
      <b/>
      <sz val="12"/>
      <color theme="1"/>
      <name val="Oswald"/>
    </font>
    <font>
      <sz val="18"/>
      <color rgb="FF000000"/>
      <name val="Oswald"/>
    </font>
    <font>
      <b/>
      <sz val="18"/>
      <color theme="1"/>
      <name val="Oswald"/>
    </font>
    <font>
      <sz val="10"/>
      <color rgb="FF000000"/>
      <name val="-webkit-standard"/>
    </font>
    <font>
      <sz val="12"/>
      <color rgb="FFBF9000"/>
      <name val="Oswald"/>
    </font>
    <font>
      <b/>
      <sz val="12"/>
      <color rgb="FFBF9000"/>
      <name val="Oswald"/>
    </font>
    <font>
      <b/>
      <sz val="14"/>
      <color rgb="FFBF9000"/>
      <name val="Oswald"/>
    </font>
    <font>
      <b/>
      <i/>
      <sz val="10"/>
      <color rgb="FF434343"/>
      <name val="Roboto"/>
    </font>
    <font>
      <i/>
      <sz val="7"/>
      <color rgb="FF666666"/>
      <name val="Roboto"/>
    </font>
    <font>
      <sz val="12"/>
      <color rgb="FF434343"/>
      <name val="Oswald"/>
    </font>
    <font>
      <sz val="12"/>
      <color theme="1"/>
      <name val="Oswald"/>
    </font>
    <font>
      <sz val="14"/>
      <color rgb="FFB7B7B7"/>
      <name val="Oswald"/>
    </font>
    <font>
      <sz val="18"/>
      <color rgb="FFFFBF00"/>
      <name val="Oswald"/>
    </font>
    <font>
      <b/>
      <sz val="18"/>
      <color rgb="FFFFBF00"/>
      <name val="Oswald"/>
    </font>
    <font>
      <sz val="24"/>
      <color rgb="FF777777"/>
      <name val="Oswald"/>
    </font>
    <font>
      <sz val="18"/>
      <color rgb="FFFFFFFF"/>
      <name val="Oswald"/>
    </font>
    <font>
      <sz val="14"/>
      <color rgb="FFFFCE00"/>
      <name val="Oswald"/>
    </font>
    <font>
      <sz val="14"/>
      <color rgb="FF434343"/>
      <name val="Oswald"/>
    </font>
    <font>
      <sz val="12"/>
      <color rgb="FF999999"/>
      <name val="Roboto"/>
    </font>
    <font>
      <sz val="10"/>
      <color theme="1"/>
      <name val="Arial"/>
    </font>
    <font>
      <sz val="10"/>
      <color theme="1"/>
      <name val="Arial"/>
      <scheme val="minor"/>
    </font>
    <font>
      <b/>
      <sz val="10"/>
      <color theme="1"/>
      <name val="Arial"/>
    </font>
    <font>
      <b/>
      <sz val="10"/>
      <color theme="1"/>
      <name val="Arial"/>
      <scheme val="minor"/>
    </font>
    <font>
      <sz val="10"/>
      <color rgb="FF000000"/>
      <name val="Arial"/>
    </font>
    <font>
      <sz val="12"/>
      <color rgb="FF434343"/>
      <name val="Docs-Oswald"/>
    </font>
    <font>
      <i/>
      <sz val="10"/>
      <color theme="1"/>
      <name val="Arial"/>
      <scheme val="minor"/>
    </font>
    <font>
      <b/>
      <sz val="12"/>
      <color rgb="FF000000"/>
      <name val="Roboto"/>
    </font>
    <font>
      <b/>
      <sz val="12"/>
      <color rgb="FF666666"/>
      <name val="Roboto"/>
    </font>
    <font>
      <b/>
      <sz val="10"/>
      <color rgb="FF666666"/>
      <name val="Roboto"/>
    </font>
    <font>
      <i/>
      <u/>
      <sz val="10"/>
      <color rgb="FF1155CC"/>
      <name val="Roboto"/>
    </font>
    <font>
      <b/>
      <sz val="18"/>
      <color rgb="FFFFFFFF"/>
      <name val="Oswald"/>
    </font>
    <font>
      <i/>
      <sz val="10"/>
      <color rgb="FF76A5AF"/>
      <name val="Roboto"/>
    </font>
    <font>
      <sz val="10"/>
      <color rgb="FF666666"/>
      <name val="Roboto"/>
    </font>
    <font>
      <i/>
      <sz val="12"/>
      <color rgb="FFFFFFFF"/>
      <name val="Oswald"/>
    </font>
    <font>
      <i/>
      <sz val="10"/>
      <color rgb="FF777777"/>
      <name val="Roboto"/>
    </font>
    <font>
      <sz val="10"/>
      <color rgb="FF000000"/>
      <name val="Arial"/>
      <scheme val="minor"/>
    </font>
  </fonts>
  <fills count="9">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rgb="FFFFCE00"/>
        <bgColor rgb="FFFFCE00"/>
      </patternFill>
    </fill>
    <fill>
      <patternFill patternType="solid">
        <fgColor rgb="FF434343"/>
        <bgColor rgb="FF434343"/>
      </patternFill>
    </fill>
    <fill>
      <patternFill patternType="solid">
        <fgColor rgb="FFFFF2CC"/>
        <bgColor rgb="FFFFF2CC"/>
      </patternFill>
    </fill>
    <fill>
      <patternFill patternType="solid">
        <fgColor rgb="FFFFD966"/>
        <bgColor rgb="FFFFD966"/>
      </patternFill>
    </fill>
  </fills>
  <borders count="57">
    <border>
      <left/>
      <right/>
      <top/>
      <bottom/>
      <diagonal/>
    </border>
    <border>
      <left/>
      <right/>
      <top/>
      <bottom/>
      <diagonal/>
    </border>
    <border>
      <left/>
      <right/>
      <top/>
      <bottom/>
      <diagonal/>
    </border>
    <border>
      <left/>
      <right/>
      <top/>
      <bottom/>
      <diagonal/>
    </border>
    <border>
      <left/>
      <right/>
      <top/>
      <bottom/>
      <diagonal/>
    </border>
    <border>
      <left style="medium">
        <color rgb="FF434343"/>
      </left>
      <right/>
      <top style="medium">
        <color rgb="FF434343"/>
      </top>
      <bottom/>
      <diagonal/>
    </border>
    <border>
      <left/>
      <right/>
      <top style="medium">
        <color rgb="FF434343"/>
      </top>
      <bottom/>
      <diagonal/>
    </border>
    <border>
      <left/>
      <right style="medium">
        <color rgb="FF434343"/>
      </right>
      <top style="medium">
        <color rgb="FF434343"/>
      </top>
      <bottom/>
      <diagonal/>
    </border>
    <border>
      <left style="medium">
        <color rgb="FF434343"/>
      </left>
      <right/>
      <top/>
      <bottom/>
      <diagonal/>
    </border>
    <border>
      <left/>
      <right style="medium">
        <color rgb="FF434343"/>
      </right>
      <top/>
      <bottom/>
      <diagonal/>
    </border>
    <border>
      <left style="thick">
        <color rgb="FFFFCE00"/>
      </left>
      <right/>
      <top style="thick">
        <color rgb="FFFFCE00"/>
      </top>
      <bottom/>
      <diagonal/>
    </border>
    <border>
      <left/>
      <right/>
      <top style="thick">
        <color rgb="FFFFCE00"/>
      </top>
      <bottom/>
      <diagonal/>
    </border>
    <border>
      <left/>
      <right style="thick">
        <color rgb="FFFFCE00"/>
      </right>
      <top style="thick">
        <color rgb="FFFFCE00"/>
      </top>
      <bottom/>
      <diagonal/>
    </border>
    <border>
      <left style="thick">
        <color rgb="FFFFCE00"/>
      </left>
      <right/>
      <top/>
      <bottom/>
      <diagonal/>
    </border>
    <border>
      <left/>
      <right style="thick">
        <color rgb="FFFFCE00"/>
      </right>
      <top/>
      <bottom/>
      <diagonal/>
    </border>
    <border>
      <left/>
      <right style="thick">
        <color rgb="FFFFCE00"/>
      </right>
      <top/>
      <bottom/>
      <diagonal/>
    </border>
    <border>
      <left style="thick">
        <color rgb="FFFFCE00"/>
      </left>
      <right/>
      <top/>
      <bottom style="thick">
        <color rgb="FFFFCE00"/>
      </bottom>
      <diagonal/>
    </border>
    <border>
      <left/>
      <right/>
      <top/>
      <bottom style="thick">
        <color rgb="FFFFCE00"/>
      </bottom>
      <diagonal/>
    </border>
    <border>
      <left/>
      <right/>
      <top/>
      <bottom style="thick">
        <color rgb="FFFFCE00"/>
      </bottom>
      <diagonal/>
    </border>
    <border>
      <left style="thick">
        <color rgb="FFFFCE00"/>
      </left>
      <right style="thick">
        <color rgb="FFFFCE00"/>
      </right>
      <top style="thick">
        <color rgb="FFFFCE00"/>
      </top>
      <bottom style="thick">
        <color rgb="FFFFCE00"/>
      </bottom>
      <diagonal/>
    </border>
    <border>
      <left/>
      <right style="thick">
        <color rgb="FFFFCE00"/>
      </right>
      <top/>
      <bottom style="thick">
        <color rgb="FFFFCE00"/>
      </bottom>
      <diagonal/>
    </border>
    <border>
      <left style="medium">
        <color rgb="FF434343"/>
      </left>
      <right/>
      <top/>
      <bottom style="medium">
        <color rgb="FF434343"/>
      </bottom>
      <diagonal/>
    </border>
    <border>
      <left/>
      <right/>
      <top/>
      <bottom style="medium">
        <color rgb="FF434343"/>
      </bottom>
      <diagonal/>
    </border>
    <border>
      <left/>
      <right style="medium">
        <color rgb="FF434343"/>
      </right>
      <top/>
      <bottom style="medium">
        <color rgb="FF434343"/>
      </bottom>
      <diagonal/>
    </border>
    <border>
      <left style="thick">
        <color rgb="FFFFCE00"/>
      </left>
      <right style="thin">
        <color rgb="FFFFCE00"/>
      </right>
      <top style="thick">
        <color rgb="FFFFCE00"/>
      </top>
      <bottom style="thick">
        <color rgb="FFFFCE00"/>
      </bottom>
      <diagonal/>
    </border>
    <border>
      <left style="thin">
        <color rgb="FFFFCE00"/>
      </left>
      <right style="thick">
        <color rgb="FFFFCE00"/>
      </right>
      <top style="thick">
        <color rgb="FFFFCE00"/>
      </top>
      <bottom style="thick">
        <color rgb="FFFFCE00"/>
      </bottom>
      <diagonal/>
    </border>
    <border>
      <left/>
      <right/>
      <top/>
      <bottom style="thick">
        <color rgb="FFFFCE00"/>
      </bottom>
      <diagonal/>
    </border>
    <border>
      <left/>
      <right style="thick">
        <color rgb="FFFFCE00"/>
      </right>
      <top/>
      <bottom style="thick">
        <color rgb="FFFFCE00"/>
      </bottom>
      <diagonal/>
    </border>
    <border>
      <left style="thick">
        <color rgb="FFFFCE00"/>
      </left>
      <right/>
      <top/>
      <bottom/>
      <diagonal/>
    </border>
    <border>
      <left style="thick">
        <color rgb="FFFFCE00"/>
      </left>
      <right style="thin">
        <color rgb="FFFFCE00"/>
      </right>
      <top/>
      <bottom style="thin">
        <color rgb="FFFFCE00"/>
      </bottom>
      <diagonal/>
    </border>
    <border>
      <left style="thin">
        <color rgb="FFFFCE00"/>
      </left>
      <right style="thin">
        <color rgb="FFFFCE00"/>
      </right>
      <top/>
      <bottom style="thin">
        <color rgb="FFFFCE00"/>
      </bottom>
      <diagonal/>
    </border>
    <border>
      <left style="thin">
        <color rgb="FFFFCE00"/>
      </left>
      <right style="thick">
        <color rgb="FFFFCE00"/>
      </right>
      <top/>
      <bottom style="thin">
        <color rgb="FFD9D9D9"/>
      </bottom>
      <diagonal/>
    </border>
    <border>
      <left/>
      <right style="thick">
        <color rgb="FFFFCE00"/>
      </right>
      <top/>
      <bottom style="thin">
        <color rgb="FFCCCCCC"/>
      </bottom>
      <diagonal/>
    </border>
    <border>
      <left style="thick">
        <color rgb="FFFFCE00"/>
      </left>
      <right style="thin">
        <color rgb="FFFFCE00"/>
      </right>
      <top style="thin">
        <color rgb="FFFFCE00"/>
      </top>
      <bottom style="thin">
        <color rgb="FFFFCE00"/>
      </bottom>
      <diagonal/>
    </border>
    <border>
      <left style="thin">
        <color rgb="FFFFCE00"/>
      </left>
      <right style="thin">
        <color rgb="FFFFCE00"/>
      </right>
      <top style="thin">
        <color rgb="FFFFCE00"/>
      </top>
      <bottom style="thin">
        <color rgb="FFFFCE00"/>
      </bottom>
      <diagonal/>
    </border>
    <border>
      <left style="thick">
        <color rgb="FFFFCE00"/>
      </left>
      <right style="thin">
        <color rgb="FFFFCE00"/>
      </right>
      <top style="thin">
        <color rgb="FFFFCE00"/>
      </top>
      <bottom style="thick">
        <color rgb="FFFFCE00"/>
      </bottom>
      <diagonal/>
    </border>
    <border>
      <left style="thin">
        <color rgb="FFFFCE00"/>
      </left>
      <right style="thin">
        <color rgb="FFFFCE00"/>
      </right>
      <top style="thin">
        <color rgb="FFFFCE00"/>
      </top>
      <bottom style="thick">
        <color rgb="FFFFCE00"/>
      </bottom>
      <diagonal/>
    </border>
    <border>
      <left/>
      <right/>
      <top/>
      <bottom style="thick">
        <color rgb="FFFFCE00"/>
      </bottom>
      <diagonal/>
    </border>
    <border>
      <left/>
      <right style="thick">
        <color rgb="FFFFBF00"/>
      </right>
      <top/>
      <bottom style="thick">
        <color rgb="FFFFCE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FFCE00"/>
      </left>
      <right style="thin">
        <color rgb="FF666666"/>
      </right>
      <top style="medium">
        <color rgb="FFFFCE00"/>
      </top>
      <bottom style="thick">
        <color rgb="FFFFCE00"/>
      </bottom>
      <diagonal/>
    </border>
    <border>
      <left style="thin">
        <color rgb="FF666666"/>
      </left>
      <right/>
      <top style="medium">
        <color rgb="FFFFCE00"/>
      </top>
      <bottom style="thick">
        <color rgb="FFFFCE00"/>
      </bottom>
      <diagonal/>
    </border>
    <border>
      <left/>
      <right style="thin">
        <color rgb="FF666666"/>
      </right>
      <top style="medium">
        <color rgb="FFFFCE00"/>
      </top>
      <bottom style="thick">
        <color rgb="FFFFCE00"/>
      </bottom>
      <diagonal/>
    </border>
    <border>
      <left style="thin">
        <color rgb="FF666666"/>
      </left>
      <right style="medium">
        <color rgb="FFFFCE00"/>
      </right>
      <top style="medium">
        <color rgb="FFFFCE00"/>
      </top>
      <bottom style="thick">
        <color rgb="FFFFCE00"/>
      </bottom>
      <diagonal/>
    </border>
    <border>
      <left style="medium">
        <color rgb="FFFFCE00"/>
      </left>
      <right/>
      <top style="thick">
        <color rgb="FFFFCE00"/>
      </top>
      <bottom style="medium">
        <color rgb="FFFFCE00"/>
      </bottom>
      <diagonal/>
    </border>
    <border>
      <left style="thin">
        <color rgb="FF434343"/>
      </left>
      <right/>
      <top style="thick">
        <color rgb="FFFFCE00"/>
      </top>
      <bottom style="medium">
        <color rgb="FFFFCE00"/>
      </bottom>
      <diagonal/>
    </border>
    <border>
      <left/>
      <right style="thin">
        <color rgb="FF434343"/>
      </right>
      <top style="thick">
        <color rgb="FFFFCE00"/>
      </top>
      <bottom style="medium">
        <color rgb="FFFFCE00"/>
      </bottom>
      <diagonal/>
    </border>
    <border>
      <left style="thin">
        <color rgb="FF434343"/>
      </left>
      <right style="medium">
        <color rgb="FFFFCE00"/>
      </right>
      <top style="thick">
        <color rgb="FFFFCE00"/>
      </top>
      <bottom style="medium">
        <color rgb="FFFFCE00"/>
      </bottom>
      <diagonal/>
    </border>
    <border>
      <left/>
      <right/>
      <top/>
      <bottom style="thin">
        <color rgb="FF000000"/>
      </bottom>
      <diagonal/>
    </border>
    <border>
      <left/>
      <right/>
      <top/>
      <bottom style="double">
        <color rgb="FF000000"/>
      </bottom>
      <diagonal/>
    </border>
  </borders>
  <cellStyleXfs count="3">
    <xf numFmtId="0" fontId="0" fillId="0" borderId="0"/>
    <xf numFmtId="43" fontId="56" fillId="0" borderId="0" applyFont="0" applyFill="0" applyBorder="0" applyAlignment="0" applyProtection="0"/>
    <xf numFmtId="9" fontId="56" fillId="0" borderId="0" applyFont="0" applyFill="0" applyBorder="0" applyAlignment="0" applyProtection="0"/>
  </cellStyleXfs>
  <cellXfs count="166">
    <xf numFmtId="0" fontId="0" fillId="0" borderId="0" xfId="0"/>
    <xf numFmtId="0" fontId="1" fillId="2" borderId="1" xfId="0" applyFont="1" applyFill="1" applyBorder="1"/>
    <xf numFmtId="0" fontId="2" fillId="2" borderId="1" xfId="0" applyFont="1" applyFill="1" applyBorder="1"/>
    <xf numFmtId="0" fontId="1" fillId="3" borderId="1" xfId="0" applyFont="1" applyFill="1" applyBorder="1"/>
    <xf numFmtId="0" fontId="3" fillId="0" borderId="0" xfId="0" applyFont="1" applyAlignment="1">
      <alignment horizontal="left"/>
    </xf>
    <xf numFmtId="0" fontId="4" fillId="0" borderId="0" xfId="0" applyFont="1" applyAlignment="1">
      <alignment horizontal="left" vertical="top"/>
    </xf>
    <xf numFmtId="0" fontId="4" fillId="0" borderId="0" xfId="0" applyFont="1" applyAlignment="1">
      <alignment horizontal="right" vertical="top"/>
    </xf>
    <xf numFmtId="0" fontId="1" fillId="2" borderId="1" xfId="0" applyFont="1" applyFill="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xf numFmtId="0" fontId="1" fillId="2" borderId="5" xfId="0" applyFont="1" applyFill="1" applyBorder="1"/>
    <xf numFmtId="0" fontId="1" fillId="2" borderId="6" xfId="0" applyFont="1" applyFill="1" applyBorder="1"/>
    <xf numFmtId="0" fontId="1" fillId="2" borderId="7" xfId="0" applyFont="1" applyFill="1" applyBorder="1"/>
    <xf numFmtId="0" fontId="1" fillId="2" borderId="1" xfId="0" applyFont="1" applyFill="1" applyBorder="1" applyAlignment="1">
      <alignment vertical="center"/>
    </xf>
    <xf numFmtId="0" fontId="1" fillId="2" borderId="8" xfId="0" applyFont="1" applyFill="1" applyBorder="1" applyAlignment="1">
      <alignment vertical="center"/>
    </xf>
    <xf numFmtId="0" fontId="1" fillId="2" borderId="9" xfId="0" applyFont="1" applyFill="1" applyBorder="1" applyAlignment="1">
      <alignment vertical="center"/>
    </xf>
    <xf numFmtId="0" fontId="2" fillId="2" borderId="1" xfId="0" applyFont="1" applyFill="1" applyBorder="1" applyAlignment="1">
      <alignment vertical="center"/>
    </xf>
    <xf numFmtId="0" fontId="1" fillId="2" borderId="8" xfId="0" applyFont="1" applyFill="1" applyBorder="1"/>
    <xf numFmtId="0" fontId="1" fillId="2" borderId="9" xfId="0" applyFont="1" applyFill="1" applyBorder="1"/>
    <xf numFmtId="0" fontId="8" fillId="2" borderId="1" xfId="0" applyFont="1" applyFill="1" applyBorder="1" applyAlignment="1">
      <alignment vertical="center"/>
    </xf>
    <xf numFmtId="0" fontId="8" fillId="2" borderId="8" xfId="0" applyFont="1" applyFill="1" applyBorder="1" applyAlignment="1">
      <alignment vertical="center"/>
    </xf>
    <xf numFmtId="0" fontId="10" fillId="2" borderId="9" xfId="0" applyFont="1" applyFill="1" applyBorder="1"/>
    <xf numFmtId="0" fontId="11" fillId="2" borderId="1" xfId="0" applyFont="1" applyFill="1" applyBorder="1" applyAlignment="1">
      <alignment vertical="center" wrapText="1"/>
    </xf>
    <xf numFmtId="0" fontId="11" fillId="2" borderId="8" xfId="0" applyFont="1" applyFill="1" applyBorder="1" applyAlignment="1">
      <alignment vertical="center" wrapText="1"/>
    </xf>
    <xf numFmtId="0" fontId="13" fillId="2" borderId="1" xfId="0" applyFont="1" applyFill="1" applyBorder="1" applyAlignment="1">
      <alignment vertical="center" wrapText="1"/>
    </xf>
    <xf numFmtId="0" fontId="13" fillId="2" borderId="8" xfId="0" applyFont="1" applyFill="1" applyBorder="1" applyAlignment="1">
      <alignment vertical="center" wrapText="1"/>
    </xf>
    <xf numFmtId="164" fontId="15" fillId="6" borderId="15" xfId="0" applyNumberFormat="1" applyFont="1" applyFill="1" applyBorder="1" applyAlignment="1">
      <alignment horizontal="center" vertical="center" wrapText="1"/>
    </xf>
    <xf numFmtId="0" fontId="16" fillId="2" borderId="9"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8" fillId="2" borderId="1" xfId="0" applyFont="1" applyFill="1" applyBorder="1" applyAlignment="1">
      <alignment vertical="center" wrapText="1"/>
    </xf>
    <xf numFmtId="0" fontId="18" fillId="2" borderId="8" xfId="0" applyFont="1" applyFill="1" applyBorder="1" applyAlignment="1">
      <alignment vertical="center" wrapText="1"/>
    </xf>
    <xf numFmtId="3" fontId="19" fillId="2" borderId="19" xfId="0" applyNumberFormat="1" applyFont="1" applyFill="1" applyBorder="1" applyAlignment="1">
      <alignment horizontal="center" vertical="center"/>
    </xf>
    <xf numFmtId="0" fontId="20" fillId="2" borderId="1" xfId="0" applyFont="1" applyFill="1" applyBorder="1"/>
    <xf numFmtId="0" fontId="21" fillId="2" borderId="1" xfId="0" applyFont="1" applyFill="1" applyBorder="1" applyAlignment="1">
      <alignment vertical="center" wrapText="1"/>
    </xf>
    <xf numFmtId="0" fontId="21" fillId="2" borderId="8" xfId="0" applyFont="1" applyFill="1" applyBorder="1" applyAlignment="1">
      <alignment vertical="center" wrapText="1"/>
    </xf>
    <xf numFmtId="164" fontId="23" fillId="5" borderId="20" xfId="0" applyNumberFormat="1" applyFont="1" applyFill="1" applyBorder="1" applyAlignment="1">
      <alignment horizontal="center"/>
    </xf>
    <xf numFmtId="0" fontId="1" fillId="2" borderId="21" xfId="0" applyFont="1" applyFill="1" applyBorder="1"/>
    <xf numFmtId="0" fontId="1" fillId="2" borderId="22" xfId="0" applyFont="1" applyFill="1" applyBorder="1"/>
    <xf numFmtId="0" fontId="1" fillId="2" borderId="23" xfId="0" applyFont="1" applyFill="1" applyBorder="1"/>
    <xf numFmtId="0" fontId="24" fillId="2" borderId="1" xfId="0" applyFont="1" applyFill="1" applyBorder="1"/>
    <xf numFmtId="164" fontId="15" fillId="6" borderId="1" xfId="0" applyNumberFormat="1" applyFont="1" applyFill="1" applyBorder="1" applyAlignment="1">
      <alignment horizontal="center" vertical="center" wrapText="1"/>
    </xf>
    <xf numFmtId="164" fontId="19" fillId="2" borderId="24" xfId="0" applyNumberFormat="1" applyFont="1" applyFill="1" applyBorder="1" applyAlignment="1">
      <alignment horizontal="center" vertical="center"/>
    </xf>
    <xf numFmtId="3" fontId="19" fillId="2" borderId="25" xfId="0" applyNumberFormat="1" applyFont="1" applyFill="1" applyBorder="1" applyAlignment="1">
      <alignment horizontal="center" vertical="center"/>
    </xf>
    <xf numFmtId="0" fontId="25" fillId="2" borderId="1" xfId="0" applyFont="1" applyFill="1" applyBorder="1" applyAlignment="1">
      <alignment vertical="center" wrapText="1"/>
    </xf>
    <xf numFmtId="0" fontId="25" fillId="2" borderId="8" xfId="0" applyFont="1" applyFill="1" applyBorder="1" applyAlignment="1">
      <alignment vertical="center" wrapText="1"/>
    </xf>
    <xf numFmtId="10" fontId="19" fillId="2" borderId="19" xfId="0" applyNumberFormat="1" applyFont="1" applyFill="1" applyBorder="1" applyAlignment="1">
      <alignment horizontal="center" vertical="center"/>
    </xf>
    <xf numFmtId="0" fontId="1" fillId="6" borderId="1" xfId="0" applyFont="1" applyFill="1" applyBorder="1"/>
    <xf numFmtId="164" fontId="19" fillId="2" borderId="19" xfId="0" applyNumberFormat="1" applyFont="1" applyFill="1" applyBorder="1" applyAlignment="1">
      <alignment horizontal="center" vertical="center"/>
    </xf>
    <xf numFmtId="0" fontId="28" fillId="2" borderId="1" xfId="0" applyFont="1" applyFill="1" applyBorder="1" applyAlignment="1">
      <alignment vertical="center" wrapText="1"/>
    </xf>
    <xf numFmtId="0" fontId="28" fillId="2" borderId="8" xfId="0" applyFont="1" applyFill="1" applyBorder="1" applyAlignment="1">
      <alignment vertical="center" wrapText="1"/>
    </xf>
    <xf numFmtId="0" fontId="29" fillId="2" borderId="1" xfId="0" applyFont="1" applyFill="1" applyBorder="1" applyAlignment="1">
      <alignment vertical="center" wrapText="1"/>
    </xf>
    <xf numFmtId="0" fontId="29" fillId="2" borderId="8" xfId="0" applyFont="1" applyFill="1" applyBorder="1" applyAlignment="1">
      <alignment vertical="center" wrapText="1"/>
    </xf>
    <xf numFmtId="0" fontId="15" fillId="6" borderId="28" xfId="0" applyFont="1" applyFill="1" applyBorder="1" applyAlignment="1">
      <alignment vertical="center" wrapText="1"/>
    </xf>
    <xf numFmtId="0" fontId="30" fillId="2" borderId="29" xfId="0" applyFont="1" applyFill="1" applyBorder="1" applyAlignment="1">
      <alignment vertical="center" wrapText="1"/>
    </xf>
    <xf numFmtId="165" fontId="31" fillId="2" borderId="30" xfId="0" applyNumberFormat="1" applyFont="1" applyFill="1" applyBorder="1" applyAlignment="1">
      <alignment horizontal="center" vertical="center"/>
    </xf>
    <xf numFmtId="3" fontId="31" fillId="2" borderId="30" xfId="0" applyNumberFormat="1" applyFont="1" applyFill="1" applyBorder="1" applyAlignment="1">
      <alignment horizontal="center" vertical="center"/>
    </xf>
    <xf numFmtId="164" fontId="32" fillId="4" borderId="31" xfId="0" applyNumberFormat="1" applyFont="1" applyFill="1" applyBorder="1" applyAlignment="1">
      <alignment horizontal="center" vertical="center" wrapText="1"/>
    </xf>
    <xf numFmtId="164" fontId="32" fillId="4" borderId="32" xfId="0" applyNumberFormat="1" applyFont="1" applyFill="1" applyBorder="1" applyAlignment="1">
      <alignment horizontal="center" vertical="center" wrapText="1"/>
    </xf>
    <xf numFmtId="0" fontId="30" fillId="2" borderId="33" xfId="0" applyFont="1" applyFill="1" applyBorder="1" applyAlignment="1">
      <alignment vertical="center" wrapText="1"/>
    </xf>
    <xf numFmtId="165" fontId="31" fillId="2" borderId="34" xfId="0" applyNumberFormat="1" applyFont="1" applyFill="1" applyBorder="1" applyAlignment="1">
      <alignment horizontal="center" vertical="center"/>
    </xf>
    <xf numFmtId="3" fontId="31" fillId="2" borderId="34" xfId="0" applyNumberFormat="1" applyFont="1" applyFill="1" applyBorder="1" applyAlignment="1">
      <alignment horizontal="center" vertical="center"/>
    </xf>
    <xf numFmtId="0" fontId="30" fillId="2" borderId="35" xfId="0" applyFont="1" applyFill="1" applyBorder="1" applyAlignment="1">
      <alignment vertical="center" wrapText="1"/>
    </xf>
    <xf numFmtId="165" fontId="31" fillId="2" borderId="36" xfId="0" applyNumberFormat="1" applyFont="1" applyFill="1" applyBorder="1" applyAlignment="1">
      <alignment horizontal="center" vertical="center"/>
    </xf>
    <xf numFmtId="3" fontId="31" fillId="2" borderId="36" xfId="0" applyNumberFormat="1" applyFont="1" applyFill="1" applyBorder="1" applyAlignment="1">
      <alignment horizontal="center" vertical="center"/>
    </xf>
    <xf numFmtId="164" fontId="32" fillId="4" borderId="20" xfId="0" applyNumberFormat="1" applyFont="1" applyFill="1" applyBorder="1" applyAlignment="1">
      <alignment horizontal="center" vertical="center" wrapText="1"/>
    </xf>
    <xf numFmtId="3" fontId="26" fillId="8" borderId="37" xfId="0" applyNumberFormat="1" applyFont="1" applyFill="1" applyBorder="1" applyAlignment="1">
      <alignment horizontal="center" vertical="center"/>
    </xf>
    <xf numFmtId="164" fontId="26" fillId="8" borderId="38" xfId="0" applyNumberFormat="1" applyFont="1" applyFill="1" applyBorder="1" applyAlignment="1">
      <alignment horizontal="center" vertical="center"/>
    </xf>
    <xf numFmtId="164" fontId="34" fillId="6" borderId="20" xfId="0" applyNumberFormat="1" applyFont="1" applyFill="1" applyBorder="1" applyAlignment="1">
      <alignment horizontal="center" vertical="center"/>
    </xf>
    <xf numFmtId="0" fontId="37" fillId="6" borderId="47" xfId="0" applyFont="1" applyFill="1" applyBorder="1" applyAlignment="1">
      <alignment horizontal="center" vertical="center"/>
    </xf>
    <xf numFmtId="164" fontId="37" fillId="6" borderId="50" xfId="0" applyNumberFormat="1" applyFont="1" applyFill="1" applyBorder="1" applyAlignment="1">
      <alignment horizontal="center" vertical="center"/>
    </xf>
    <xf numFmtId="3" fontId="38" fillId="5" borderId="51" xfId="0" applyNumberFormat="1" applyFont="1" applyFill="1" applyBorder="1" applyAlignment="1">
      <alignment horizontal="center" vertical="center"/>
    </xf>
    <xf numFmtId="3" fontId="38" fillId="5" borderId="54" xfId="0" applyNumberFormat="1" applyFont="1" applyFill="1" applyBorder="1" applyAlignment="1">
      <alignment horizontal="center" vertical="center"/>
    </xf>
    <xf numFmtId="164" fontId="40" fillId="0" borderId="0" xfId="0" applyNumberFormat="1" applyFont="1" applyAlignment="1">
      <alignment horizontal="right"/>
    </xf>
    <xf numFmtId="0" fontId="40" fillId="0" borderId="0" xfId="0" applyFont="1" applyAlignment="1">
      <alignment horizontal="left"/>
    </xf>
    <xf numFmtId="3" fontId="41" fillId="0" borderId="0" xfId="0" applyNumberFormat="1" applyFont="1"/>
    <xf numFmtId="0" fontId="41" fillId="0" borderId="0" xfId="0" applyFont="1"/>
    <xf numFmtId="164" fontId="42" fillId="0" borderId="0" xfId="0" applyNumberFormat="1" applyFont="1" applyAlignment="1">
      <alignment horizontal="right"/>
    </xf>
    <xf numFmtId="0" fontId="43" fillId="0" borderId="0" xfId="0" applyFont="1"/>
    <xf numFmtId="164" fontId="43" fillId="0" borderId="0" xfId="0" applyNumberFormat="1" applyFont="1"/>
    <xf numFmtId="10" fontId="41" fillId="0" borderId="0" xfId="0" applyNumberFormat="1" applyFont="1"/>
    <xf numFmtId="0" fontId="44" fillId="2" borderId="0" xfId="0" applyFont="1" applyFill="1" applyAlignment="1">
      <alignment horizontal="left"/>
    </xf>
    <xf numFmtId="164" fontId="41" fillId="0" borderId="0" xfId="0" applyNumberFormat="1" applyFont="1"/>
    <xf numFmtId="0" fontId="41" fillId="0" borderId="0" xfId="0" applyFont="1" applyAlignment="1">
      <alignment horizontal="right"/>
    </xf>
    <xf numFmtId="0" fontId="41" fillId="0" borderId="0" xfId="0" applyFont="1" applyAlignment="1">
      <alignment horizontal="left"/>
    </xf>
    <xf numFmtId="166" fontId="41" fillId="0" borderId="0" xfId="0" applyNumberFormat="1" applyFont="1"/>
    <xf numFmtId="164" fontId="40" fillId="0" borderId="0" xfId="0" applyNumberFormat="1" applyFont="1" applyAlignment="1">
      <alignment horizontal="left"/>
    </xf>
    <xf numFmtId="9" fontId="40" fillId="0" borderId="0" xfId="0" applyNumberFormat="1" applyFont="1" applyAlignment="1">
      <alignment horizontal="right"/>
    </xf>
    <xf numFmtId="10" fontId="40" fillId="0" borderId="0" xfId="0" applyNumberFormat="1" applyFont="1" applyAlignment="1">
      <alignment horizontal="left"/>
    </xf>
    <xf numFmtId="10" fontId="2" fillId="0" borderId="0" xfId="0" applyNumberFormat="1" applyFont="1"/>
    <xf numFmtId="10" fontId="2" fillId="0" borderId="0" xfId="0" applyNumberFormat="1" applyFont="1" applyAlignment="1">
      <alignment horizontal="left"/>
    </xf>
    <xf numFmtId="3" fontId="41" fillId="0" borderId="0" xfId="0" applyNumberFormat="1" applyFont="1" applyAlignment="1">
      <alignment horizontal="left"/>
    </xf>
    <xf numFmtId="0" fontId="40" fillId="0" borderId="0" xfId="0" applyFont="1"/>
    <xf numFmtId="164" fontId="40" fillId="0" borderId="0" xfId="0" applyNumberFormat="1" applyFont="1"/>
    <xf numFmtId="3" fontId="40" fillId="0" borderId="0" xfId="0" applyNumberFormat="1" applyFont="1" applyAlignment="1">
      <alignment horizontal="right"/>
    </xf>
    <xf numFmtId="165" fontId="2" fillId="0" borderId="0" xfId="0" applyNumberFormat="1" applyFont="1"/>
    <xf numFmtId="4" fontId="38" fillId="5" borderId="51" xfId="0" applyNumberFormat="1" applyFont="1" applyFill="1" applyBorder="1" applyAlignment="1">
      <alignment horizontal="center" vertical="center"/>
    </xf>
    <xf numFmtId="0" fontId="2" fillId="0" borderId="0" xfId="0" applyFont="1"/>
    <xf numFmtId="166" fontId="41" fillId="0" borderId="0" xfId="0" applyNumberFormat="1" applyFont="1" applyAlignment="1">
      <alignment horizontal="left"/>
    </xf>
    <xf numFmtId="10" fontId="40" fillId="0" borderId="0" xfId="0" applyNumberFormat="1" applyFont="1"/>
    <xf numFmtId="0" fontId="45" fillId="2" borderId="0" xfId="0" applyFont="1" applyFill="1" applyAlignment="1">
      <alignment horizontal="left"/>
    </xf>
    <xf numFmtId="0" fontId="43" fillId="0" borderId="55" xfId="0" applyFont="1" applyBorder="1" applyAlignment="1">
      <alignment horizontal="right"/>
    </xf>
    <xf numFmtId="0" fontId="41" fillId="0" borderId="55" xfId="0" applyFont="1" applyBorder="1"/>
    <xf numFmtId="10" fontId="41" fillId="0" borderId="55" xfId="0" applyNumberFormat="1" applyFont="1" applyBorder="1"/>
    <xf numFmtId="3" fontId="41" fillId="0" borderId="55" xfId="0" applyNumberFormat="1" applyFont="1" applyBorder="1"/>
    <xf numFmtId="0" fontId="46" fillId="0" borderId="0" xfId="0" applyFont="1"/>
    <xf numFmtId="0" fontId="46" fillId="0" borderId="0" xfId="0" applyFont="1" applyAlignment="1">
      <alignment horizontal="right"/>
    </xf>
    <xf numFmtId="166" fontId="46" fillId="0" borderId="0" xfId="0" applyNumberFormat="1" applyFont="1"/>
    <xf numFmtId="164" fontId="41" fillId="0" borderId="55" xfId="0" applyNumberFormat="1" applyFont="1" applyBorder="1"/>
    <xf numFmtId="0" fontId="43" fillId="0" borderId="56" xfId="0" applyFont="1" applyBorder="1"/>
    <xf numFmtId="164" fontId="43" fillId="0" borderId="56" xfId="0" applyNumberFormat="1" applyFont="1" applyBorder="1"/>
    <xf numFmtId="0" fontId="41" fillId="0" borderId="0" xfId="0" applyFont="1" applyAlignment="1">
      <alignment wrapText="1"/>
    </xf>
    <xf numFmtId="9" fontId="41" fillId="0" borderId="0" xfId="0" applyNumberFormat="1" applyFont="1"/>
    <xf numFmtId="0" fontId="1" fillId="0" borderId="0" xfId="0" applyFont="1"/>
    <xf numFmtId="164" fontId="1" fillId="0" borderId="0" xfId="0" applyNumberFormat="1" applyFont="1"/>
    <xf numFmtId="165" fontId="41" fillId="0" borderId="0" xfId="0" applyNumberFormat="1" applyFont="1"/>
    <xf numFmtId="0" fontId="1" fillId="0" borderId="0" xfId="0" applyFont="1" applyAlignment="1">
      <alignment horizontal="left"/>
    </xf>
    <xf numFmtId="165" fontId="40" fillId="0" borderId="0" xfId="0" applyNumberFormat="1" applyFont="1" applyAlignment="1">
      <alignment horizontal="right"/>
    </xf>
    <xf numFmtId="43" fontId="0" fillId="0" borderId="0" xfId="1" applyFont="1"/>
    <xf numFmtId="9" fontId="41" fillId="0" borderId="0" xfId="2" applyFont="1"/>
    <xf numFmtId="167" fontId="41" fillId="0" borderId="0" xfId="1" applyNumberFormat="1" applyFont="1"/>
    <xf numFmtId="0" fontId="2" fillId="2" borderId="0" xfId="0" applyFont="1" applyFill="1" applyAlignment="1">
      <alignment horizontal="left"/>
    </xf>
    <xf numFmtId="9" fontId="0" fillId="0" borderId="0" xfId="2" applyFont="1"/>
    <xf numFmtId="0" fontId="22" fillId="2" borderId="2" xfId="0" applyFont="1" applyFill="1" applyBorder="1" applyAlignment="1">
      <alignment horizontal="center" vertical="center"/>
    </xf>
    <xf numFmtId="0" fontId="6" fillId="0" borderId="3" xfId="0" applyFont="1" applyBorder="1"/>
    <xf numFmtId="0" fontId="6" fillId="0" borderId="4" xfId="0" applyFont="1" applyBorder="1"/>
    <xf numFmtId="0" fontId="39" fillId="2" borderId="2" xfId="0" applyFont="1" applyFill="1" applyBorder="1" applyAlignment="1">
      <alignment horizontal="center" vertical="center"/>
    </xf>
    <xf numFmtId="0" fontId="18" fillId="7" borderId="13" xfId="0" applyFont="1" applyFill="1" applyBorder="1" applyAlignment="1">
      <alignment vertical="center" wrapText="1"/>
    </xf>
    <xf numFmtId="0" fontId="6" fillId="0" borderId="14" xfId="0" applyFont="1" applyBorder="1"/>
    <xf numFmtId="0" fontId="18" fillId="4" borderId="13" xfId="0" applyFont="1" applyFill="1" applyBorder="1" applyAlignment="1">
      <alignment vertical="center" wrapText="1"/>
    </xf>
    <xf numFmtId="0" fontId="25" fillId="8" borderId="16" xfId="0" applyFont="1" applyFill="1" applyBorder="1" applyAlignment="1">
      <alignment vertical="center" wrapText="1"/>
    </xf>
    <xf numFmtId="0" fontId="6" fillId="0" borderId="18" xfId="0" applyFont="1" applyBorder="1"/>
    <xf numFmtId="0" fontId="33" fillId="6" borderId="16" xfId="0" applyFont="1" applyFill="1" applyBorder="1" applyAlignment="1">
      <alignment vertical="center" wrapText="1"/>
    </xf>
    <xf numFmtId="0" fontId="6" fillId="0" borderId="17" xfId="0" applyFont="1" applyBorder="1"/>
    <xf numFmtId="0" fontId="35" fillId="2" borderId="2" xfId="0" applyFont="1" applyFill="1" applyBorder="1" applyAlignment="1">
      <alignment horizontal="center"/>
    </xf>
    <xf numFmtId="0" fontId="36" fillId="2" borderId="39" xfId="0" applyFont="1" applyFill="1" applyBorder="1" applyAlignment="1">
      <alignment horizontal="center" vertical="center"/>
    </xf>
    <xf numFmtId="0" fontId="6" fillId="0" borderId="40" xfId="0" applyFont="1" applyBorder="1"/>
    <xf numFmtId="0" fontId="6" fillId="0" borderId="41" xfId="0" applyFont="1" applyBorder="1"/>
    <xf numFmtId="0" fontId="6" fillId="0" borderId="42" xfId="0" applyFont="1" applyBorder="1"/>
    <xf numFmtId="0" fontId="0" fillId="0" borderId="0" xfId="0"/>
    <xf numFmtId="0" fontId="6" fillId="0" borderId="43" xfId="0" applyFont="1" applyBorder="1"/>
    <xf numFmtId="0" fontId="6" fillId="0" borderId="44" xfId="0" applyFont="1" applyBorder="1"/>
    <xf numFmtId="0" fontId="6" fillId="0" borderId="45" xfId="0" applyFont="1" applyBorder="1"/>
    <xf numFmtId="0" fontId="6" fillId="0" borderId="46" xfId="0" applyFont="1" applyBorder="1"/>
    <xf numFmtId="164" fontId="37" fillId="6" borderId="48" xfId="0" applyNumberFormat="1" applyFont="1" applyFill="1" applyBorder="1" applyAlignment="1">
      <alignment horizontal="center" vertical="center"/>
    </xf>
    <xf numFmtId="0" fontId="6" fillId="0" borderId="49" xfId="0" applyFont="1" applyBorder="1"/>
    <xf numFmtId="0" fontId="29" fillId="7" borderId="16" xfId="0" applyFont="1" applyFill="1" applyBorder="1" applyAlignment="1">
      <alignment vertical="center" wrapText="1"/>
    </xf>
    <xf numFmtId="0" fontId="29" fillId="4" borderId="13" xfId="0" applyFont="1" applyFill="1" applyBorder="1" applyAlignment="1">
      <alignment vertical="center" wrapText="1"/>
    </xf>
    <xf numFmtId="0" fontId="14" fillId="6" borderId="13" xfId="0" applyFont="1" applyFill="1" applyBorder="1" applyAlignment="1">
      <alignment vertical="center" wrapText="1"/>
    </xf>
    <xf numFmtId="3" fontId="38" fillId="5" borderId="52" xfId="0" applyNumberFormat="1" applyFont="1" applyFill="1" applyBorder="1" applyAlignment="1">
      <alignment horizontal="center" vertical="center"/>
    </xf>
    <xf numFmtId="0" fontId="6" fillId="0" borderId="53" xfId="0" applyFont="1" applyBorder="1"/>
    <xf numFmtId="0" fontId="23" fillId="5" borderId="10" xfId="0" applyFont="1" applyFill="1" applyBorder="1" applyAlignment="1">
      <alignment vertical="center"/>
    </xf>
    <xf numFmtId="0" fontId="6" fillId="0" borderId="11" xfId="0" applyFont="1" applyBorder="1"/>
    <xf numFmtId="0" fontId="6" fillId="0" borderId="12" xfId="0" applyFont="1" applyBorder="1"/>
    <xf numFmtId="0" fontId="12" fillId="5" borderId="13" xfId="0" applyFont="1" applyFill="1" applyBorder="1" applyAlignment="1">
      <alignment vertical="center" wrapText="1"/>
    </xf>
    <xf numFmtId="0" fontId="27" fillId="5" borderId="16" xfId="0" applyFont="1" applyFill="1" applyBorder="1" applyAlignment="1">
      <alignment vertical="center" wrapText="1"/>
    </xf>
    <xf numFmtId="164" fontId="23" fillId="5" borderId="26" xfId="0" applyNumberFormat="1" applyFont="1" applyFill="1" applyBorder="1" applyAlignment="1">
      <alignment horizontal="center"/>
    </xf>
    <xf numFmtId="0" fontId="6" fillId="0" borderId="27" xfId="0" applyFont="1" applyBorder="1"/>
    <xf numFmtId="0" fontId="9" fillId="5" borderId="10" xfId="0" applyFont="1" applyFill="1" applyBorder="1" applyAlignment="1">
      <alignment vertical="center"/>
    </xf>
    <xf numFmtId="0" fontId="18" fillId="7" borderId="16" xfId="0" applyFont="1" applyFill="1" applyBorder="1" applyAlignment="1">
      <alignment vertical="center" wrapText="1"/>
    </xf>
    <xf numFmtId="0" fontId="12" fillId="7" borderId="16" xfId="0" applyFont="1" applyFill="1" applyBorder="1" applyAlignment="1">
      <alignment vertical="center" wrapText="1"/>
    </xf>
    <xf numFmtId="3" fontId="26" fillId="8" borderId="26" xfId="0" applyNumberFormat="1" applyFont="1" applyFill="1" applyBorder="1" applyAlignment="1">
      <alignment horizontal="center" vertical="center"/>
    </xf>
    <xf numFmtId="0" fontId="12" fillId="7" borderId="13" xfId="0" applyFont="1" applyFill="1" applyBorder="1" applyAlignment="1">
      <alignment vertical="center" wrapText="1"/>
    </xf>
    <xf numFmtId="0" fontId="22" fillId="5" borderId="16" xfId="0" applyFont="1" applyFill="1" applyBorder="1" applyAlignment="1">
      <alignment vertical="center" wrapText="1"/>
    </xf>
    <xf numFmtId="0" fontId="7" fillId="2" borderId="2" xfId="0" applyFont="1" applyFill="1" applyBorder="1" applyAlignment="1">
      <alignment horizontal="center"/>
    </xf>
    <xf numFmtId="0" fontId="5" fillId="4" borderId="2" xfId="0" applyFont="1" applyFill="1" applyBorder="1" applyAlignment="1">
      <alignment vertical="center" wrapText="1"/>
    </xf>
    <xf numFmtId="0" fontId="7" fillId="2" borderId="2" xfId="0" applyFont="1" applyFill="1" applyBorder="1" applyAlignment="1">
      <alignment horizontal="center" vertical="center"/>
    </xf>
  </cellXfs>
  <cellStyles count="3">
    <cellStyle name="Comma" xfId="1" builtinId="3"/>
    <cellStyle name="Normal" xfId="0" builtinId="0"/>
    <cellStyle name="Percent" xfId="2" builtinId="5"/>
  </cellStyles>
  <dxfs count="60">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s>
  <tableStyles count="30">
    <tableStyle name="Example-style" pivot="0" count="2" xr9:uid="{00000000-0011-0000-FFFF-FFFF00000000}">
      <tableStyleElement type="firstRowStripe" dxfId="59"/>
      <tableStyleElement type="secondRowStripe" dxfId="58"/>
    </tableStyle>
    <tableStyle name="Example-style 2" pivot="0" count="2" xr9:uid="{00000000-0011-0000-FFFF-FFFF01000000}">
      <tableStyleElement type="firstRowStripe" dxfId="57"/>
      <tableStyleElement type="secondRowStripe" dxfId="56"/>
    </tableStyle>
    <tableStyle name="Example-style 3" pivot="0" count="2" xr9:uid="{00000000-0011-0000-FFFF-FFFF02000000}">
      <tableStyleElement type="firstRowStripe" dxfId="55"/>
      <tableStyleElement type="secondRowStripe" dxfId="54"/>
    </tableStyle>
    <tableStyle name="Example-style 4" pivot="0" count="2" xr9:uid="{00000000-0011-0000-FFFF-FFFF03000000}">
      <tableStyleElement type="firstRowStripe" dxfId="53"/>
      <tableStyleElement type="secondRowStripe" dxfId="52"/>
    </tableStyle>
    <tableStyle name="Example-style 5" pivot="0" count="2" xr9:uid="{00000000-0011-0000-FFFF-FFFF04000000}">
      <tableStyleElement type="firstRowStripe" dxfId="51"/>
      <tableStyleElement type="secondRowStripe" dxfId="50"/>
    </tableStyle>
    <tableStyle name="Year 1-style" pivot="0" count="2" xr9:uid="{00000000-0011-0000-FFFF-FFFF05000000}">
      <tableStyleElement type="firstRowStripe" dxfId="49"/>
      <tableStyleElement type="secondRowStripe" dxfId="48"/>
    </tableStyle>
    <tableStyle name="Year 1-style 2" pivot="0" count="2" xr9:uid="{00000000-0011-0000-FFFF-FFFF06000000}">
      <tableStyleElement type="firstRowStripe" dxfId="47"/>
      <tableStyleElement type="secondRowStripe" dxfId="46"/>
    </tableStyle>
    <tableStyle name="Year 1-style 3" pivot="0" count="2" xr9:uid="{00000000-0011-0000-FFFF-FFFF07000000}">
      <tableStyleElement type="firstRowStripe" dxfId="45"/>
      <tableStyleElement type="secondRowStripe" dxfId="44"/>
    </tableStyle>
    <tableStyle name="Year 1-style 4" pivot="0" count="2" xr9:uid="{00000000-0011-0000-FFFF-FFFF08000000}">
      <tableStyleElement type="firstRowStripe" dxfId="43"/>
      <tableStyleElement type="secondRowStripe" dxfId="42"/>
    </tableStyle>
    <tableStyle name="Year 1-style 5" pivot="0" count="2" xr9:uid="{00000000-0011-0000-FFFF-FFFF09000000}">
      <tableStyleElement type="firstRowStripe" dxfId="41"/>
      <tableStyleElement type="secondRowStripe" dxfId="40"/>
    </tableStyle>
    <tableStyle name="Year 2-style" pivot="0" count="2" xr9:uid="{00000000-0011-0000-FFFF-FFFF0A000000}">
      <tableStyleElement type="firstRowStripe" dxfId="39"/>
      <tableStyleElement type="secondRowStripe" dxfId="38"/>
    </tableStyle>
    <tableStyle name="Year 2-style 2" pivot="0" count="2" xr9:uid="{00000000-0011-0000-FFFF-FFFF0B000000}">
      <tableStyleElement type="firstRowStripe" dxfId="37"/>
      <tableStyleElement type="secondRowStripe" dxfId="36"/>
    </tableStyle>
    <tableStyle name="Year 2-style 3" pivot="0" count="2" xr9:uid="{00000000-0011-0000-FFFF-FFFF0C000000}">
      <tableStyleElement type="firstRowStripe" dxfId="35"/>
      <tableStyleElement type="secondRowStripe" dxfId="34"/>
    </tableStyle>
    <tableStyle name="Year 2-style 4" pivot="0" count="2" xr9:uid="{00000000-0011-0000-FFFF-FFFF0D000000}">
      <tableStyleElement type="firstRowStripe" dxfId="33"/>
      <tableStyleElement type="secondRowStripe" dxfId="32"/>
    </tableStyle>
    <tableStyle name="Year 2-style 5" pivot="0" count="2" xr9:uid="{00000000-0011-0000-FFFF-FFFF0E000000}">
      <tableStyleElement type="firstRowStripe" dxfId="31"/>
      <tableStyleElement type="secondRowStripe" dxfId="30"/>
    </tableStyle>
    <tableStyle name="Year 3-style" pivot="0" count="2" xr9:uid="{00000000-0011-0000-FFFF-FFFF0F000000}">
      <tableStyleElement type="firstRowStripe" dxfId="29"/>
      <tableStyleElement type="secondRowStripe" dxfId="28"/>
    </tableStyle>
    <tableStyle name="Year 3-style 2" pivot="0" count="2" xr9:uid="{00000000-0011-0000-FFFF-FFFF10000000}">
      <tableStyleElement type="firstRowStripe" dxfId="27"/>
      <tableStyleElement type="secondRowStripe" dxfId="26"/>
    </tableStyle>
    <tableStyle name="Year 3-style 3" pivot="0" count="2" xr9:uid="{00000000-0011-0000-FFFF-FFFF11000000}">
      <tableStyleElement type="firstRowStripe" dxfId="25"/>
      <tableStyleElement type="secondRowStripe" dxfId="24"/>
    </tableStyle>
    <tableStyle name="Year 3-style 4" pivot="0" count="2" xr9:uid="{00000000-0011-0000-FFFF-FFFF12000000}">
      <tableStyleElement type="firstRowStripe" dxfId="23"/>
      <tableStyleElement type="secondRowStripe" dxfId="22"/>
    </tableStyle>
    <tableStyle name="Year 3-style 5" pivot="0" count="2" xr9:uid="{00000000-0011-0000-FFFF-FFFF13000000}">
      <tableStyleElement type="firstRowStripe" dxfId="21"/>
      <tableStyleElement type="secondRowStripe" dxfId="20"/>
    </tableStyle>
    <tableStyle name="Year 4-style" pivot="0" count="2" xr9:uid="{00000000-0011-0000-FFFF-FFFF14000000}">
      <tableStyleElement type="firstRowStripe" dxfId="19"/>
      <tableStyleElement type="secondRowStripe" dxfId="18"/>
    </tableStyle>
    <tableStyle name="Year 4-style 2" pivot="0" count="2" xr9:uid="{00000000-0011-0000-FFFF-FFFF15000000}">
      <tableStyleElement type="firstRowStripe" dxfId="17"/>
      <tableStyleElement type="secondRowStripe" dxfId="16"/>
    </tableStyle>
    <tableStyle name="Year 4-style 3" pivot="0" count="2" xr9:uid="{00000000-0011-0000-FFFF-FFFF16000000}">
      <tableStyleElement type="firstRowStripe" dxfId="15"/>
      <tableStyleElement type="secondRowStripe" dxfId="14"/>
    </tableStyle>
    <tableStyle name="Year 4-style 4" pivot="0" count="2" xr9:uid="{00000000-0011-0000-FFFF-FFFF17000000}">
      <tableStyleElement type="firstRowStripe" dxfId="13"/>
      <tableStyleElement type="secondRowStripe" dxfId="12"/>
    </tableStyle>
    <tableStyle name="Year 4-style 5" pivot="0" count="2" xr9:uid="{00000000-0011-0000-FFFF-FFFF18000000}">
      <tableStyleElement type="firstRowStripe" dxfId="11"/>
      <tableStyleElement type="secondRowStripe" dxfId="10"/>
    </tableStyle>
    <tableStyle name="Year 5-style" pivot="0" count="2" xr9:uid="{00000000-0011-0000-FFFF-FFFF19000000}">
      <tableStyleElement type="firstRowStripe" dxfId="9"/>
      <tableStyleElement type="secondRowStripe" dxfId="8"/>
    </tableStyle>
    <tableStyle name="Year 5-style 2" pivot="0" count="2" xr9:uid="{00000000-0011-0000-FFFF-FFFF1A000000}">
      <tableStyleElement type="firstRowStripe" dxfId="7"/>
      <tableStyleElement type="secondRowStripe" dxfId="6"/>
    </tableStyle>
    <tableStyle name="Year 5-style 3" pivot="0" count="2" xr9:uid="{00000000-0011-0000-FFFF-FFFF1B000000}">
      <tableStyleElement type="firstRowStripe" dxfId="5"/>
      <tableStyleElement type="secondRowStripe" dxfId="4"/>
    </tableStyle>
    <tableStyle name="Year 5-style 4" pivot="0" count="2" xr9:uid="{00000000-0011-0000-FFFF-FFFF1C000000}">
      <tableStyleElement type="firstRowStripe" dxfId="3"/>
      <tableStyleElement type="secondRowStripe" dxfId="2"/>
    </tableStyle>
    <tableStyle name="Year 5-style 5" pivot="0" count="2" xr9:uid="{00000000-0011-0000-FFFF-FFFF1D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media/image1.jpg"/><Relationship Id="rId1" Type="http://schemas.openxmlformats.org/officeDocument/2006/relationships/image" Target="../media/image4.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media/image1.jpg"/><Relationship Id="rId1" Type="http://schemas.openxmlformats.org/officeDocument/2006/relationships/image" Target="../media/image4.png"/><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media/image1.jpg"/><Relationship Id="rId1" Type="http://schemas.openxmlformats.org/officeDocument/2006/relationships/image" Target="../media/image4.pn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media/image1.jpg"/><Relationship Id="rId1" Type="http://schemas.openxmlformats.org/officeDocument/2006/relationships/image" Target="../media/image4.pn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media/image1.jpg"/><Relationship Id="rId1"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5</xdr:col>
      <xdr:colOff>28575</xdr:colOff>
      <xdr:row>11</xdr:row>
      <xdr:rowOff>114300</xdr:rowOff>
    </xdr:from>
    <xdr:ext cx="923925" cy="619125"/>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19050</xdr:colOff>
      <xdr:row>24</xdr:row>
      <xdr:rowOff>76200</xdr:rowOff>
    </xdr:from>
    <xdr:ext cx="923925" cy="619125"/>
    <xdr:pic>
      <xdr:nvPicPr>
        <xdr:cNvPr id="3" name="image3.jp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495300</xdr:colOff>
      <xdr:row>0</xdr:row>
      <xdr:rowOff>133350</xdr:rowOff>
    </xdr:from>
    <xdr:ext cx="1419225" cy="1362075"/>
    <xdr:pic>
      <xdr:nvPicPr>
        <xdr:cNvPr id="4" name="image2.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28575</xdr:colOff>
      <xdr:row>11</xdr:row>
      <xdr:rowOff>104775</xdr:rowOff>
    </xdr:from>
    <xdr:ext cx="704850" cy="657225"/>
    <xdr:pic>
      <xdr:nvPicPr>
        <xdr:cNvPr id="2" name="image4.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11</xdr:row>
      <xdr:rowOff>104775</xdr:rowOff>
    </xdr:from>
    <xdr:ext cx="704850" cy="657225"/>
    <xdr:pic>
      <xdr:nvPicPr>
        <xdr:cNvPr id="3" name="image4.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11</xdr:row>
      <xdr:rowOff>104775</xdr:rowOff>
    </xdr:from>
    <xdr:ext cx="704850" cy="657225"/>
    <xdr:pic>
      <xdr:nvPicPr>
        <xdr:cNvPr id="4" name="image4.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11</xdr:row>
      <xdr:rowOff>114300</xdr:rowOff>
    </xdr:from>
    <xdr:ext cx="923925" cy="619125"/>
    <xdr:pic>
      <xdr:nvPicPr>
        <xdr:cNvPr id="5" name="image1.jpg" title="Image">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19050</xdr:colOff>
      <xdr:row>25</xdr:row>
      <xdr:rowOff>76200</xdr:rowOff>
    </xdr:from>
    <xdr:ext cx="923925" cy="619125"/>
    <xdr:pic>
      <xdr:nvPicPr>
        <xdr:cNvPr id="6" name="image3.jpg" title="Imag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495300</xdr:colOff>
      <xdr:row>0</xdr:row>
      <xdr:rowOff>133350</xdr:rowOff>
    </xdr:from>
    <xdr:ext cx="1419225" cy="1362075"/>
    <xdr:pic>
      <xdr:nvPicPr>
        <xdr:cNvPr id="7" name="image2.png" title="Image">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28575</xdr:colOff>
      <xdr:row>11</xdr:row>
      <xdr:rowOff>104775</xdr:rowOff>
    </xdr:from>
    <xdr:ext cx="704850" cy="657225"/>
    <xdr:pic>
      <xdr:nvPicPr>
        <xdr:cNvPr id="2" name="image4.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11</xdr:row>
      <xdr:rowOff>104775</xdr:rowOff>
    </xdr:from>
    <xdr:ext cx="704850" cy="657225"/>
    <xdr:pic>
      <xdr:nvPicPr>
        <xdr:cNvPr id="3" name="image4.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11</xdr:row>
      <xdr:rowOff>104775</xdr:rowOff>
    </xdr:from>
    <xdr:ext cx="704850" cy="657225"/>
    <xdr:pic>
      <xdr:nvPicPr>
        <xdr:cNvPr id="4" name="image4.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11</xdr:row>
      <xdr:rowOff>114300</xdr:rowOff>
    </xdr:from>
    <xdr:ext cx="923925" cy="619125"/>
    <xdr:pic>
      <xdr:nvPicPr>
        <xdr:cNvPr id="5" name="image1.jpg" title="Image">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19050</xdr:colOff>
      <xdr:row>25</xdr:row>
      <xdr:rowOff>76200</xdr:rowOff>
    </xdr:from>
    <xdr:ext cx="923925" cy="619125"/>
    <xdr:pic>
      <xdr:nvPicPr>
        <xdr:cNvPr id="6" name="image3.jpg" title="Image">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495300</xdr:colOff>
      <xdr:row>0</xdr:row>
      <xdr:rowOff>133350</xdr:rowOff>
    </xdr:from>
    <xdr:ext cx="1419225" cy="1362075"/>
    <xdr:pic>
      <xdr:nvPicPr>
        <xdr:cNvPr id="7" name="image2.png" title="Image">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28575</xdr:colOff>
      <xdr:row>11</xdr:row>
      <xdr:rowOff>104775</xdr:rowOff>
    </xdr:from>
    <xdr:ext cx="704850" cy="657225"/>
    <xdr:pic>
      <xdr:nvPicPr>
        <xdr:cNvPr id="2" name="image4.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11</xdr:row>
      <xdr:rowOff>104775</xdr:rowOff>
    </xdr:from>
    <xdr:ext cx="704850" cy="657225"/>
    <xdr:pic>
      <xdr:nvPicPr>
        <xdr:cNvPr id="3" name="image4.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11</xdr:row>
      <xdr:rowOff>104775</xdr:rowOff>
    </xdr:from>
    <xdr:ext cx="704850" cy="657225"/>
    <xdr:pic>
      <xdr:nvPicPr>
        <xdr:cNvPr id="4" name="image4.png">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11</xdr:row>
      <xdr:rowOff>114300</xdr:rowOff>
    </xdr:from>
    <xdr:ext cx="923925" cy="619125"/>
    <xdr:pic>
      <xdr:nvPicPr>
        <xdr:cNvPr id="5" name="image1.jpg" title="Image">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19050</xdr:colOff>
      <xdr:row>25</xdr:row>
      <xdr:rowOff>76200</xdr:rowOff>
    </xdr:from>
    <xdr:ext cx="923925" cy="619125"/>
    <xdr:pic>
      <xdr:nvPicPr>
        <xdr:cNvPr id="6" name="image3.jpg" title="Image">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495300</xdr:colOff>
      <xdr:row>0</xdr:row>
      <xdr:rowOff>133350</xdr:rowOff>
    </xdr:from>
    <xdr:ext cx="1419225" cy="1362075"/>
    <xdr:pic>
      <xdr:nvPicPr>
        <xdr:cNvPr id="7" name="image2.png" title="Image">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5</xdr:col>
      <xdr:colOff>28575</xdr:colOff>
      <xdr:row>11</xdr:row>
      <xdr:rowOff>104775</xdr:rowOff>
    </xdr:from>
    <xdr:ext cx="704850" cy="657225"/>
    <xdr:pic>
      <xdr:nvPicPr>
        <xdr:cNvPr id="2" name="image4.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11</xdr:row>
      <xdr:rowOff>104775</xdr:rowOff>
    </xdr:from>
    <xdr:ext cx="704850" cy="657225"/>
    <xdr:pic>
      <xdr:nvPicPr>
        <xdr:cNvPr id="3" name="image4.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11</xdr:row>
      <xdr:rowOff>104775</xdr:rowOff>
    </xdr:from>
    <xdr:ext cx="704850" cy="657225"/>
    <xdr:pic>
      <xdr:nvPicPr>
        <xdr:cNvPr id="4" name="image4.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11</xdr:row>
      <xdr:rowOff>114300</xdr:rowOff>
    </xdr:from>
    <xdr:ext cx="923925" cy="619125"/>
    <xdr:pic>
      <xdr:nvPicPr>
        <xdr:cNvPr id="5" name="image1.jpg" title="Image">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19050</xdr:colOff>
      <xdr:row>25</xdr:row>
      <xdr:rowOff>76200</xdr:rowOff>
    </xdr:from>
    <xdr:ext cx="923925" cy="619125"/>
    <xdr:pic>
      <xdr:nvPicPr>
        <xdr:cNvPr id="6" name="image3.jpg" title="Image">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495300</xdr:colOff>
      <xdr:row>0</xdr:row>
      <xdr:rowOff>133350</xdr:rowOff>
    </xdr:from>
    <xdr:ext cx="1419225" cy="1362075"/>
    <xdr:pic>
      <xdr:nvPicPr>
        <xdr:cNvPr id="7" name="image2.png" title="Image">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5</xdr:col>
      <xdr:colOff>28575</xdr:colOff>
      <xdr:row>11</xdr:row>
      <xdr:rowOff>104775</xdr:rowOff>
    </xdr:from>
    <xdr:ext cx="704850" cy="657225"/>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11</xdr:row>
      <xdr:rowOff>104775</xdr:rowOff>
    </xdr:from>
    <xdr:ext cx="704850" cy="657225"/>
    <xdr:pic>
      <xdr:nvPicPr>
        <xdr:cNvPr id="3" name="image4.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11</xdr:row>
      <xdr:rowOff>104775</xdr:rowOff>
    </xdr:from>
    <xdr:ext cx="704850" cy="657225"/>
    <xdr:pic>
      <xdr:nvPicPr>
        <xdr:cNvPr id="4" name="image4.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11</xdr:row>
      <xdr:rowOff>114300</xdr:rowOff>
    </xdr:from>
    <xdr:ext cx="923925" cy="619125"/>
    <xdr:pic>
      <xdr:nvPicPr>
        <xdr:cNvPr id="5" name="image1.jpg" title="Image">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19050</xdr:colOff>
      <xdr:row>25</xdr:row>
      <xdr:rowOff>76200</xdr:rowOff>
    </xdr:from>
    <xdr:ext cx="923925" cy="619125"/>
    <xdr:pic>
      <xdr:nvPicPr>
        <xdr:cNvPr id="6" name="image3.jpg" title="Image">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495300</xdr:colOff>
      <xdr:row>0</xdr:row>
      <xdr:rowOff>133350</xdr:rowOff>
    </xdr:from>
    <xdr:ext cx="1419225" cy="1362075"/>
    <xdr:pic>
      <xdr:nvPicPr>
        <xdr:cNvPr id="7" name="image2.png" title="Image">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I45" headerRowCount="0">
  <tableColumns count="1">
    <tableColumn id="1" xr3:uid="{00000000-0010-0000-0000-000001000000}" name="Column1"/>
  </tableColumns>
  <tableStyleInfo name="Exampl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I46:I48" headerRowCount="0">
  <tableColumns count="1">
    <tableColumn id="1" xr3:uid="{00000000-0010-0000-0100-000001000000}" name="Column1"/>
  </tableColumns>
  <tableStyleInfo name="Exampl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F58" headerRowCount="0">
  <tableColumns count="1">
    <tableColumn id="1" xr3:uid="{00000000-0010-0000-0200-000001000000}" name="Column1"/>
  </tableColumns>
  <tableStyleInfo name="Example-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F62" headerRowCount="0">
  <tableColumns count="1">
    <tableColumn id="1" xr3:uid="{00000000-0010-0000-0300-000001000000}" name="Column1"/>
  </tableColumns>
  <tableStyleInfo name="Example-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I71" headerRowCount="0">
  <tableColumns count="1">
    <tableColumn id="1" xr3:uid="{00000000-0010-0000-0400-000001000000}" name="Column1"/>
  </tableColumns>
  <tableStyleInfo name="Example-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I46" headerRowCount="0">
  <tableColumns count="1">
    <tableColumn id="1" xr3:uid="{00000000-0010-0000-0500-000001000000}" name="Column1"/>
  </tableColumns>
  <tableStyleInfo name="Year 1-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I47:I49" headerRowCount="0">
  <tableColumns count="1">
    <tableColumn id="1" xr3:uid="{00000000-0010-0000-0600-000001000000}" name="Column1"/>
  </tableColumns>
  <tableStyleInfo name="Year 1-style 2"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F59" headerRowCount="0">
  <tableColumns count="1">
    <tableColumn id="1" xr3:uid="{00000000-0010-0000-0700-000001000000}" name="Column1"/>
  </tableColumns>
  <tableStyleInfo name="Year 1-style 3"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F63" headerRowCount="0">
  <tableColumns count="1">
    <tableColumn id="1" xr3:uid="{00000000-0010-0000-0800-000001000000}" name="Column1"/>
  </tableColumns>
  <tableStyleInfo name="Year 1-style 4"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I72" headerRowCount="0">
  <tableColumns count="1">
    <tableColumn id="1" xr3:uid="{00000000-0010-0000-0900-000001000000}" name="Column1"/>
  </tableColumns>
  <tableStyleInfo name="Year 1-style 5"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I46" headerRowCount="0">
  <tableColumns count="1">
    <tableColumn id="1" xr3:uid="{00000000-0010-0000-0A00-000001000000}" name="Column1"/>
  </tableColumns>
  <tableStyleInfo name="Year 2-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I47:I49" headerRowCount="0">
  <tableColumns count="1">
    <tableColumn id="1" xr3:uid="{00000000-0010-0000-0B00-000001000000}" name="Column1"/>
  </tableColumns>
  <tableStyleInfo name="Year 2-style 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F59" headerRowCount="0">
  <tableColumns count="1">
    <tableColumn id="1" xr3:uid="{00000000-0010-0000-0C00-000001000000}" name="Column1"/>
  </tableColumns>
  <tableStyleInfo name="Year 2-style 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F63" headerRowCount="0">
  <tableColumns count="1">
    <tableColumn id="1" xr3:uid="{00000000-0010-0000-0D00-000001000000}" name="Column1"/>
  </tableColumns>
  <tableStyleInfo name="Year 2-style 4"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I72" headerRowCount="0">
  <tableColumns count="1">
    <tableColumn id="1" xr3:uid="{00000000-0010-0000-0E00-000001000000}" name="Column1"/>
  </tableColumns>
  <tableStyleInfo name="Year 2-style 5"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I46" headerRowCount="0">
  <tableColumns count="1">
    <tableColumn id="1" xr3:uid="{00000000-0010-0000-0F00-000001000000}" name="Column1"/>
  </tableColumns>
  <tableStyleInfo name="Year 3-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I47:I49" headerRowCount="0">
  <tableColumns count="1">
    <tableColumn id="1" xr3:uid="{00000000-0010-0000-1000-000001000000}" name="Column1"/>
  </tableColumns>
  <tableStyleInfo name="Year 3-style 2"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F59" headerRowCount="0">
  <tableColumns count="1">
    <tableColumn id="1" xr3:uid="{00000000-0010-0000-1100-000001000000}" name="Column1"/>
  </tableColumns>
  <tableStyleInfo name="Year 3-style 3"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F63" headerRowCount="0">
  <tableColumns count="1">
    <tableColumn id="1" xr3:uid="{00000000-0010-0000-1200-000001000000}" name="Column1"/>
  </tableColumns>
  <tableStyleInfo name="Year 3-style 4"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I72" headerRowCount="0">
  <tableColumns count="1">
    <tableColumn id="1" xr3:uid="{00000000-0010-0000-1300-000001000000}" name="Column1"/>
  </tableColumns>
  <tableStyleInfo name="Year 3-style 5"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I46" headerRowCount="0">
  <tableColumns count="1">
    <tableColumn id="1" xr3:uid="{00000000-0010-0000-1400-000001000000}" name="Column1"/>
  </tableColumns>
  <tableStyleInfo name="Year 4-style"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I47:I49" headerRowCount="0">
  <tableColumns count="1">
    <tableColumn id="1" xr3:uid="{00000000-0010-0000-1500-000001000000}" name="Column1"/>
  </tableColumns>
  <tableStyleInfo name="Year 4-style 2"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F59" headerRowCount="0">
  <tableColumns count="1">
    <tableColumn id="1" xr3:uid="{00000000-0010-0000-1600-000001000000}" name="Column1"/>
  </tableColumns>
  <tableStyleInfo name="Year 4-style 3"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F63" headerRowCount="0">
  <tableColumns count="1">
    <tableColumn id="1" xr3:uid="{00000000-0010-0000-1700-000001000000}" name="Column1"/>
  </tableColumns>
  <tableStyleInfo name="Year 4-style 4"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5" displayName="Table_25" ref="I72" headerRowCount="0">
  <tableColumns count="1">
    <tableColumn id="1" xr3:uid="{00000000-0010-0000-1800-000001000000}" name="Column1"/>
  </tableColumns>
  <tableStyleInfo name="Year 4-style 5"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6" displayName="Table_26" ref="I46" headerRowCount="0">
  <tableColumns count="1">
    <tableColumn id="1" xr3:uid="{00000000-0010-0000-1900-000001000000}" name="Column1"/>
  </tableColumns>
  <tableStyleInfo name="Year 5-style"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7" displayName="Table_27" ref="I47:I49" headerRowCount="0">
  <tableColumns count="1">
    <tableColumn id="1" xr3:uid="{00000000-0010-0000-1A00-000001000000}" name="Column1"/>
  </tableColumns>
  <tableStyleInfo name="Year 5-style 2"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8" displayName="Table_28" ref="F59" headerRowCount="0">
  <tableColumns count="1">
    <tableColumn id="1" xr3:uid="{00000000-0010-0000-1B00-000001000000}" name="Column1"/>
  </tableColumns>
  <tableStyleInfo name="Year 5-style 3"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9" displayName="Table_29" ref="F63" headerRowCount="0">
  <tableColumns count="1">
    <tableColumn id="1" xr3:uid="{00000000-0010-0000-1C00-000001000000}" name="Column1"/>
  </tableColumns>
  <tableStyleInfo name="Year 5-style 4"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30" displayName="Table_30" ref="I72" headerRowCount="0">
  <tableColumns count="1">
    <tableColumn id="1" xr3:uid="{00000000-0010-0000-1D00-000001000000}" name="Column1"/>
  </tableColumns>
  <tableStyleInfo name="Year 5-style 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2.xml"/><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3.xml"/><Relationship Id="rId6" Type="http://schemas.openxmlformats.org/officeDocument/2006/relationships/table" Target="../tables/table15.xml"/><Relationship Id="rId5" Type="http://schemas.openxmlformats.org/officeDocument/2006/relationships/table" Target="../tables/table14.xml"/><Relationship Id="rId4" Type="http://schemas.openxmlformats.org/officeDocument/2006/relationships/table" Target="../tables/table1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4.xml"/><Relationship Id="rId6" Type="http://schemas.openxmlformats.org/officeDocument/2006/relationships/table" Target="../tables/table20.xml"/><Relationship Id="rId5" Type="http://schemas.openxmlformats.org/officeDocument/2006/relationships/table" Target="../tables/table19.xml"/><Relationship Id="rId4" Type="http://schemas.openxmlformats.org/officeDocument/2006/relationships/table" Target="../tables/table18.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drawing" Target="../drawings/drawing5.xml"/><Relationship Id="rId6" Type="http://schemas.openxmlformats.org/officeDocument/2006/relationships/table" Target="../tables/table25.xml"/><Relationship Id="rId5" Type="http://schemas.openxmlformats.org/officeDocument/2006/relationships/table" Target="../tables/table24.xml"/><Relationship Id="rId4" Type="http://schemas.openxmlformats.org/officeDocument/2006/relationships/table" Target="../tables/table2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6.xml"/><Relationship Id="rId6" Type="http://schemas.openxmlformats.org/officeDocument/2006/relationships/table" Target="../tables/table30.xml"/><Relationship Id="rId5" Type="http://schemas.openxmlformats.org/officeDocument/2006/relationships/table" Target="../tables/table29.xml"/><Relationship Id="rId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00"/>
  <sheetViews>
    <sheetView showGridLines="0" workbookViewId="0"/>
  </sheetViews>
  <sheetFormatPr baseColWidth="10" defaultColWidth="12.6640625" defaultRowHeight="15" customHeight="1" outlineLevelRow="1"/>
  <cols>
    <col min="1" max="1" width="0.6640625" customWidth="1"/>
    <col min="2" max="2" width="2" customWidth="1"/>
    <col min="3" max="3" width="32.83203125" customWidth="1"/>
    <col min="4" max="5" width="14.5" customWidth="1"/>
    <col min="6" max="6" width="30.33203125" customWidth="1"/>
    <col min="7" max="7" width="2" customWidth="1"/>
    <col min="8" max="9" width="1.33203125" customWidth="1"/>
    <col min="10" max="26" width="14.5" customWidth="1"/>
  </cols>
  <sheetData>
    <row r="1" spans="1:9" ht="15.75" customHeight="1">
      <c r="A1" s="1"/>
      <c r="B1" s="1"/>
      <c r="H1" s="2"/>
      <c r="I1" s="3"/>
    </row>
    <row r="2" spans="1:9" ht="15.75" customHeight="1">
      <c r="A2" s="1"/>
      <c r="B2" s="1"/>
      <c r="H2" s="2"/>
      <c r="I2" s="3"/>
    </row>
    <row r="3" spans="1:9" ht="15.75" customHeight="1">
      <c r="A3" s="1"/>
      <c r="B3" s="1"/>
      <c r="H3" s="2"/>
      <c r="I3" s="3"/>
    </row>
    <row r="4" spans="1:9" ht="15.75" customHeight="1">
      <c r="A4" s="1"/>
      <c r="C4" s="4" t="s">
        <v>0</v>
      </c>
      <c r="D4" s="4"/>
      <c r="E4" s="4"/>
      <c r="F4" s="4"/>
      <c r="G4" s="4"/>
      <c r="H4" s="2"/>
      <c r="I4" s="3"/>
    </row>
    <row r="5" spans="1:9" ht="15.75" customHeight="1">
      <c r="A5" s="1"/>
      <c r="B5" s="4"/>
      <c r="C5" s="5" t="s">
        <v>1</v>
      </c>
      <c r="D5" s="4"/>
      <c r="E5" s="4"/>
      <c r="F5" s="4"/>
      <c r="G5" s="4"/>
      <c r="H5" s="2"/>
      <c r="I5" s="3"/>
    </row>
    <row r="6" spans="1:9" ht="15.75" customHeight="1">
      <c r="A6" s="1"/>
      <c r="C6" s="5"/>
      <c r="D6" s="5"/>
      <c r="E6" s="5"/>
      <c r="F6" s="5"/>
      <c r="G6" s="5"/>
      <c r="H6" s="2"/>
      <c r="I6" s="3"/>
    </row>
    <row r="7" spans="1:9" ht="15.75" customHeight="1">
      <c r="A7" s="1"/>
      <c r="B7" s="1"/>
      <c r="H7" s="2"/>
      <c r="I7" s="3"/>
    </row>
    <row r="8" spans="1:9" ht="15.75" customHeight="1">
      <c r="A8" s="1"/>
      <c r="B8" s="1"/>
      <c r="C8" s="6"/>
      <c r="D8" s="6"/>
      <c r="E8" s="6"/>
      <c r="F8" s="6"/>
      <c r="H8" s="2"/>
      <c r="I8" s="3"/>
    </row>
    <row r="9" spans="1:9" ht="78.75" customHeight="1">
      <c r="A9" s="7"/>
      <c r="B9" s="8"/>
      <c r="C9" s="164" t="s">
        <v>2</v>
      </c>
      <c r="D9" s="123"/>
      <c r="E9" s="123"/>
      <c r="F9" s="124"/>
      <c r="G9" s="9"/>
      <c r="H9" s="2"/>
      <c r="I9" s="3"/>
    </row>
    <row r="10" spans="1:9" ht="15.75" customHeight="1">
      <c r="A10" s="1"/>
      <c r="B10" s="1"/>
      <c r="H10" s="2"/>
      <c r="I10" s="3"/>
    </row>
    <row r="11" spans="1:9" ht="15.75" customHeight="1">
      <c r="A11" s="1"/>
      <c r="B11" s="1"/>
      <c r="H11" s="2"/>
      <c r="I11" s="3"/>
    </row>
    <row r="12" spans="1:9" ht="15.75" customHeight="1">
      <c r="A12" s="1"/>
      <c r="B12" s="10"/>
      <c r="C12" s="11"/>
      <c r="D12" s="11"/>
      <c r="E12" s="11"/>
      <c r="F12" s="11"/>
      <c r="G12" s="12"/>
      <c r="H12" s="2"/>
      <c r="I12" s="3"/>
    </row>
    <row r="13" spans="1:9" ht="36" customHeight="1">
      <c r="A13" s="13"/>
      <c r="B13" s="14"/>
      <c r="C13" s="165" t="s">
        <v>3</v>
      </c>
      <c r="D13" s="123"/>
      <c r="E13" s="123"/>
      <c r="F13" s="124"/>
      <c r="G13" s="15"/>
      <c r="H13" s="16"/>
      <c r="I13" s="3"/>
    </row>
    <row r="14" spans="1:9" ht="15.75" customHeight="1">
      <c r="A14" s="1"/>
      <c r="B14" s="17"/>
      <c r="C14" s="1"/>
      <c r="D14" s="1"/>
      <c r="E14" s="1"/>
      <c r="F14" s="1"/>
      <c r="G14" s="18"/>
      <c r="H14" s="2"/>
      <c r="I14" s="3"/>
    </row>
    <row r="15" spans="1:9" ht="36.75" customHeight="1">
      <c r="A15" s="19"/>
      <c r="B15" s="20"/>
      <c r="C15" s="157" t="s">
        <v>4</v>
      </c>
      <c r="D15" s="151"/>
      <c r="E15" s="151"/>
      <c r="F15" s="152"/>
      <c r="G15" s="21"/>
      <c r="H15" s="2"/>
      <c r="I15" s="3"/>
    </row>
    <row r="16" spans="1:9" ht="60" customHeight="1">
      <c r="A16" s="22"/>
      <c r="B16" s="23"/>
      <c r="C16" s="153" t="s">
        <v>5</v>
      </c>
      <c r="D16" s="123"/>
      <c r="E16" s="123"/>
      <c r="F16" s="127"/>
      <c r="G16" s="18"/>
      <c r="H16" s="2"/>
      <c r="I16" s="3"/>
    </row>
    <row r="17" spans="1:9" ht="24" customHeight="1">
      <c r="A17" s="24"/>
      <c r="B17" s="25"/>
      <c r="C17" s="147" t="s">
        <v>6</v>
      </c>
      <c r="D17" s="123"/>
      <c r="E17" s="124"/>
      <c r="F17" s="26" t="s">
        <v>7</v>
      </c>
      <c r="G17" s="27"/>
      <c r="H17" s="28"/>
      <c r="I17" s="3"/>
    </row>
    <row r="18" spans="1:9" ht="54" customHeight="1">
      <c r="A18" s="29"/>
      <c r="B18" s="30"/>
      <c r="C18" s="159" t="s">
        <v>8</v>
      </c>
      <c r="D18" s="132"/>
      <c r="E18" s="130"/>
      <c r="F18" s="31">
        <v>49</v>
      </c>
      <c r="G18" s="18"/>
      <c r="H18" s="2"/>
      <c r="I18" s="3"/>
    </row>
    <row r="19" spans="1:9" ht="24" customHeight="1">
      <c r="A19" s="24"/>
      <c r="B19" s="25"/>
      <c r="C19" s="147" t="s">
        <v>9</v>
      </c>
      <c r="D19" s="123"/>
      <c r="E19" s="124"/>
      <c r="F19" s="26" t="s">
        <v>10</v>
      </c>
      <c r="G19" s="27"/>
      <c r="H19" s="28"/>
      <c r="I19" s="3"/>
    </row>
    <row r="20" spans="1:9" ht="57" customHeight="1">
      <c r="A20" s="29"/>
      <c r="B20" s="30"/>
      <c r="C20" s="161" t="s">
        <v>11</v>
      </c>
      <c r="D20" s="123"/>
      <c r="E20" s="124"/>
      <c r="F20" s="31">
        <v>1</v>
      </c>
      <c r="G20" s="18"/>
      <c r="H20" s="32"/>
      <c r="I20" s="3"/>
    </row>
    <row r="21" spans="1:9" ht="39.75" customHeight="1">
      <c r="A21" s="33"/>
      <c r="B21" s="34"/>
      <c r="C21" s="162" t="s">
        <v>12</v>
      </c>
      <c r="D21" s="132"/>
      <c r="E21" s="130"/>
      <c r="F21" s="35">
        <f>F18*F20</f>
        <v>49</v>
      </c>
      <c r="G21" s="18"/>
      <c r="H21" s="2"/>
      <c r="I21" s="3"/>
    </row>
    <row r="22" spans="1:9" ht="15.75" customHeight="1">
      <c r="A22" s="1"/>
      <c r="B22" s="36"/>
      <c r="C22" s="37"/>
      <c r="D22" s="37"/>
      <c r="E22" s="37"/>
      <c r="F22" s="37"/>
      <c r="G22" s="38"/>
      <c r="H22" s="2"/>
      <c r="I22" s="3"/>
    </row>
    <row r="23" spans="1:9" ht="15.75" customHeight="1">
      <c r="A23" s="1"/>
      <c r="B23" s="1"/>
      <c r="H23" s="2"/>
      <c r="I23" s="3"/>
    </row>
    <row r="24" spans="1:9" ht="15.75" customHeight="1">
      <c r="A24" s="1"/>
      <c r="B24" s="1"/>
      <c r="H24" s="2"/>
      <c r="I24" s="3"/>
    </row>
    <row r="25" spans="1:9" ht="15.75" customHeight="1">
      <c r="A25" s="1"/>
      <c r="B25" s="10"/>
      <c r="C25" s="11"/>
      <c r="D25" s="11"/>
      <c r="E25" s="11"/>
      <c r="F25" s="11"/>
      <c r="G25" s="12"/>
      <c r="H25" s="2"/>
      <c r="I25" s="3"/>
    </row>
    <row r="26" spans="1:9" ht="15.75" customHeight="1">
      <c r="A26" s="1"/>
      <c r="B26" s="17"/>
      <c r="C26" s="163" t="s">
        <v>13</v>
      </c>
      <c r="D26" s="123"/>
      <c r="E26" s="123"/>
      <c r="F26" s="124"/>
      <c r="G26" s="18"/>
      <c r="H26" s="2"/>
      <c r="I26" s="3"/>
    </row>
    <row r="27" spans="1:9" ht="15.75" customHeight="1">
      <c r="A27" s="1"/>
      <c r="B27" s="17"/>
      <c r="C27" s="1"/>
      <c r="D27" s="1"/>
      <c r="E27" s="1"/>
      <c r="F27" s="1"/>
      <c r="G27" s="18"/>
      <c r="H27" s="2"/>
      <c r="I27" s="3"/>
    </row>
    <row r="28" spans="1:9" ht="35.25" customHeight="1">
      <c r="A28" s="19"/>
      <c r="B28" s="20"/>
      <c r="C28" s="157" t="s">
        <v>14</v>
      </c>
      <c r="D28" s="151"/>
      <c r="E28" s="151"/>
      <c r="F28" s="152"/>
      <c r="G28" s="18"/>
      <c r="H28" s="2"/>
      <c r="I28" s="3"/>
    </row>
    <row r="29" spans="1:9" ht="45" customHeight="1">
      <c r="A29" s="22"/>
      <c r="B29" s="23"/>
      <c r="C29" s="153" t="s">
        <v>15</v>
      </c>
      <c r="D29" s="123"/>
      <c r="E29" s="123"/>
      <c r="F29" s="127"/>
      <c r="G29" s="18"/>
      <c r="H29" s="39"/>
      <c r="I29" s="3"/>
    </row>
    <row r="30" spans="1:9" ht="24" customHeight="1">
      <c r="A30" s="22"/>
      <c r="B30" s="23"/>
      <c r="C30" s="147" t="s">
        <v>16</v>
      </c>
      <c r="D30" s="124"/>
      <c r="E30" s="40" t="s">
        <v>17</v>
      </c>
      <c r="F30" s="26" t="s">
        <v>18</v>
      </c>
      <c r="G30" s="18"/>
      <c r="H30" s="39"/>
      <c r="I30" s="3"/>
    </row>
    <row r="31" spans="1:9" ht="72" customHeight="1">
      <c r="A31" s="22"/>
      <c r="B31" s="23"/>
      <c r="C31" s="159" t="s">
        <v>19</v>
      </c>
      <c r="D31" s="130"/>
      <c r="E31" s="41">
        <v>100000</v>
      </c>
      <c r="F31" s="42">
        <v>2</v>
      </c>
      <c r="G31" s="18"/>
      <c r="H31" s="39"/>
      <c r="I31" s="3"/>
    </row>
    <row r="32" spans="1:9" ht="15.75" customHeight="1">
      <c r="A32" s="43"/>
      <c r="B32" s="44"/>
      <c r="C32" s="129" t="s">
        <v>20</v>
      </c>
      <c r="D32" s="130"/>
      <c r="E32" s="160">
        <f>SUMPRODUCT(E31, F31)</f>
        <v>200000</v>
      </c>
      <c r="F32" s="156"/>
      <c r="G32" s="18"/>
      <c r="H32" s="2"/>
      <c r="I32" s="3"/>
    </row>
    <row r="33" spans="1:9" ht="24" customHeight="1">
      <c r="A33" s="24"/>
      <c r="B33" s="25"/>
      <c r="C33" s="147" t="s">
        <v>21</v>
      </c>
      <c r="D33" s="123"/>
      <c r="E33" s="124"/>
      <c r="F33" s="26" t="s">
        <v>22</v>
      </c>
      <c r="G33" s="27"/>
      <c r="H33" s="28"/>
      <c r="I33" s="3"/>
    </row>
    <row r="34" spans="1:9" ht="15.75" customHeight="1" collapsed="1">
      <c r="A34" s="29"/>
      <c r="B34" s="30"/>
      <c r="C34" s="158" t="s">
        <v>23</v>
      </c>
      <c r="D34" s="132"/>
      <c r="E34" s="130"/>
      <c r="F34" s="45">
        <v>0.33329999999999999</v>
      </c>
      <c r="G34" s="18"/>
      <c r="H34" s="2"/>
      <c r="I34" s="3"/>
    </row>
    <row r="35" spans="1:9" ht="84.75" hidden="1" customHeight="1" outlineLevel="1">
      <c r="A35" s="29"/>
      <c r="B35" s="30"/>
      <c r="C35" s="128" t="s">
        <v>24</v>
      </c>
      <c r="D35" s="123"/>
      <c r="E35" s="123"/>
      <c r="F35" s="127"/>
      <c r="G35" s="18"/>
      <c r="H35" s="2"/>
      <c r="I35" s="3"/>
    </row>
    <row r="36" spans="1:9" ht="24" customHeight="1">
      <c r="A36" s="24"/>
      <c r="B36" s="25"/>
      <c r="C36" s="147" t="s">
        <v>25</v>
      </c>
      <c r="D36" s="123"/>
      <c r="E36" s="124"/>
      <c r="F36" s="26" t="s">
        <v>22</v>
      </c>
      <c r="G36" s="27"/>
      <c r="H36" s="28"/>
      <c r="I36" s="3"/>
    </row>
    <row r="37" spans="1:9" ht="15.75" customHeight="1" collapsed="1">
      <c r="A37" s="29"/>
      <c r="B37" s="30"/>
      <c r="C37" s="126" t="s">
        <v>26</v>
      </c>
      <c r="D37" s="123"/>
      <c r="E37" s="124"/>
      <c r="F37" s="45">
        <v>0.3</v>
      </c>
      <c r="G37" s="18"/>
      <c r="H37" s="2"/>
      <c r="I37" s="3"/>
    </row>
    <row r="38" spans="1:9" ht="63" hidden="1" customHeight="1" outlineLevel="1">
      <c r="A38" s="29"/>
      <c r="B38" s="30"/>
      <c r="C38" s="128" t="s">
        <v>27</v>
      </c>
      <c r="D38" s="123"/>
      <c r="E38" s="123"/>
      <c r="F38" s="127"/>
      <c r="G38" s="18"/>
      <c r="H38" s="2"/>
      <c r="I38" s="3"/>
    </row>
    <row r="39" spans="1:9" ht="29.25" customHeight="1">
      <c r="A39" s="33"/>
      <c r="B39" s="34"/>
      <c r="C39" s="154" t="s">
        <v>28</v>
      </c>
      <c r="D39" s="130"/>
      <c r="E39" s="155">
        <f>E32 * (1 + F34 + F37)</f>
        <v>326660</v>
      </c>
      <c r="F39" s="156"/>
      <c r="G39" s="18"/>
      <c r="H39" s="2"/>
      <c r="I39" s="3"/>
    </row>
    <row r="40" spans="1:9" ht="15.75" customHeight="1">
      <c r="A40" s="1"/>
      <c r="B40" s="17"/>
      <c r="C40" s="46"/>
      <c r="D40" s="46"/>
      <c r="E40" s="46"/>
      <c r="F40" s="46"/>
      <c r="G40" s="18"/>
      <c r="H40" s="2"/>
      <c r="I40" s="3"/>
    </row>
    <row r="41" spans="1:9" ht="15.75" customHeight="1">
      <c r="A41" s="1"/>
      <c r="B41" s="17"/>
      <c r="C41" s="46"/>
      <c r="D41" s="46"/>
      <c r="E41" s="46"/>
      <c r="F41" s="46"/>
      <c r="G41" s="18"/>
      <c r="H41" s="2"/>
      <c r="I41" s="3"/>
    </row>
    <row r="42" spans="1:9" ht="36.75" customHeight="1">
      <c r="A42" s="19"/>
      <c r="B42" s="20"/>
      <c r="C42" s="157" t="s">
        <v>29</v>
      </c>
      <c r="D42" s="151"/>
      <c r="E42" s="151"/>
      <c r="F42" s="152"/>
      <c r="G42" s="18"/>
      <c r="H42" s="2"/>
      <c r="I42" s="3"/>
    </row>
    <row r="43" spans="1:9" ht="60" customHeight="1">
      <c r="A43" s="22"/>
      <c r="B43" s="23"/>
      <c r="C43" s="153" t="s">
        <v>30</v>
      </c>
      <c r="D43" s="123"/>
      <c r="E43" s="123"/>
      <c r="F43" s="127"/>
      <c r="G43" s="18"/>
      <c r="H43" s="2"/>
      <c r="I43" s="3"/>
    </row>
    <row r="44" spans="1:9" ht="24" customHeight="1">
      <c r="A44" s="24"/>
      <c r="B44" s="25"/>
      <c r="C44" s="147" t="s">
        <v>31</v>
      </c>
      <c r="D44" s="123"/>
      <c r="E44" s="124"/>
      <c r="F44" s="26" t="s">
        <v>7</v>
      </c>
      <c r="G44" s="18"/>
      <c r="H44" s="2"/>
      <c r="I44" s="3"/>
    </row>
    <row r="45" spans="1:9" ht="15.75" customHeight="1">
      <c r="A45" s="29"/>
      <c r="B45" s="30"/>
      <c r="C45" s="126" t="s">
        <v>32</v>
      </c>
      <c r="D45" s="123"/>
      <c r="E45" s="124"/>
      <c r="F45" s="47">
        <v>500000</v>
      </c>
      <c r="G45" s="18"/>
      <c r="H45" s="2"/>
      <c r="I45" s="3"/>
    </row>
    <row r="46" spans="1:9" ht="15.75" customHeight="1">
      <c r="A46" s="1"/>
      <c r="B46" s="17"/>
      <c r="C46" s="46"/>
      <c r="D46" s="46"/>
      <c r="E46" s="46"/>
      <c r="F46" s="46"/>
      <c r="G46" s="18"/>
      <c r="H46" s="2"/>
      <c r="I46" s="3"/>
    </row>
    <row r="47" spans="1:9" ht="15.75" customHeight="1">
      <c r="A47" s="1"/>
      <c r="B47" s="17"/>
      <c r="C47" s="46"/>
      <c r="D47" s="46"/>
      <c r="E47" s="46"/>
      <c r="F47" s="46"/>
      <c r="G47" s="18"/>
      <c r="H47" s="2"/>
      <c r="I47" s="3"/>
    </row>
    <row r="48" spans="1:9" ht="36.75" customHeight="1">
      <c r="A48" s="19"/>
      <c r="B48" s="20"/>
      <c r="C48" s="150" t="s">
        <v>33</v>
      </c>
      <c r="D48" s="151"/>
      <c r="E48" s="151"/>
      <c r="F48" s="152"/>
      <c r="G48" s="18"/>
      <c r="H48" s="2"/>
      <c r="I48" s="3"/>
    </row>
    <row r="49" spans="1:9" ht="45" customHeight="1">
      <c r="A49" s="48"/>
      <c r="B49" s="49"/>
      <c r="C49" s="153" t="s">
        <v>34</v>
      </c>
      <c r="D49" s="123"/>
      <c r="E49" s="123"/>
      <c r="F49" s="127"/>
      <c r="G49" s="18"/>
      <c r="H49" s="2"/>
      <c r="I49" s="3"/>
    </row>
    <row r="50" spans="1:9" ht="24" customHeight="1">
      <c r="A50" s="24"/>
      <c r="B50" s="25"/>
      <c r="C50" s="147" t="s">
        <v>35</v>
      </c>
      <c r="D50" s="123"/>
      <c r="E50" s="124"/>
      <c r="F50" s="26" t="s">
        <v>7</v>
      </c>
      <c r="G50" s="18"/>
      <c r="H50" s="2"/>
      <c r="I50" s="3"/>
    </row>
    <row r="51" spans="1:9" ht="15.75" customHeight="1" collapsed="1">
      <c r="A51" s="50"/>
      <c r="B51" s="51"/>
      <c r="C51" s="145" t="s">
        <v>36</v>
      </c>
      <c r="D51" s="132"/>
      <c r="E51" s="130"/>
      <c r="F51" s="47">
        <v>5000</v>
      </c>
      <c r="G51" s="18"/>
      <c r="H51" s="2"/>
      <c r="I51" s="3"/>
    </row>
    <row r="52" spans="1:9" ht="81" hidden="1" customHeight="1" outlineLevel="1">
      <c r="A52" s="50"/>
      <c r="B52" s="51"/>
      <c r="C52" s="146" t="s">
        <v>37</v>
      </c>
      <c r="D52" s="123"/>
      <c r="E52" s="123"/>
      <c r="F52" s="127"/>
      <c r="G52" s="18"/>
      <c r="H52" s="2"/>
      <c r="I52" s="3"/>
    </row>
    <row r="53" spans="1:9" ht="15.75" hidden="1" customHeight="1" outlineLevel="1">
      <c r="A53" s="50"/>
      <c r="B53" s="51"/>
      <c r="C53" s="146" t="s">
        <v>38</v>
      </c>
      <c r="D53" s="123"/>
      <c r="E53" s="123"/>
      <c r="F53" s="127"/>
      <c r="G53" s="18"/>
      <c r="H53" s="2"/>
      <c r="I53" s="3"/>
    </row>
    <row r="54" spans="1:9" ht="24" customHeight="1">
      <c r="A54" s="24"/>
      <c r="B54" s="25"/>
      <c r="C54" s="147" t="s">
        <v>39</v>
      </c>
      <c r="D54" s="123"/>
      <c r="E54" s="124"/>
      <c r="F54" s="26"/>
      <c r="G54" s="18"/>
      <c r="H54" s="2"/>
      <c r="I54" s="3"/>
    </row>
    <row r="55" spans="1:9" ht="15.75" customHeight="1" collapsed="1">
      <c r="A55" s="29"/>
      <c r="B55" s="30"/>
      <c r="C55" s="126" t="s">
        <v>40</v>
      </c>
      <c r="D55" s="123"/>
      <c r="E55" s="123"/>
      <c r="F55" s="127"/>
      <c r="G55" s="18"/>
      <c r="H55" s="2"/>
      <c r="I55" s="3"/>
    </row>
    <row r="56" spans="1:9" ht="58.5" hidden="1" customHeight="1" outlineLevel="1">
      <c r="A56" s="50"/>
      <c r="B56" s="51"/>
      <c r="C56" s="128" t="s">
        <v>41</v>
      </c>
      <c r="D56" s="123"/>
      <c r="E56" s="123"/>
      <c r="F56" s="127"/>
      <c r="G56" s="18"/>
      <c r="H56" s="2"/>
      <c r="I56" s="3"/>
    </row>
    <row r="57" spans="1:9" ht="24" customHeight="1">
      <c r="A57" s="24"/>
      <c r="B57" s="25"/>
      <c r="C57" s="52" t="s">
        <v>42</v>
      </c>
      <c r="D57" s="40" t="s">
        <v>43</v>
      </c>
      <c r="E57" s="40" t="s">
        <v>44</v>
      </c>
      <c r="F57" s="26" t="s">
        <v>45</v>
      </c>
      <c r="G57" s="18"/>
      <c r="H57" s="2"/>
      <c r="I57" s="3"/>
    </row>
    <row r="58" spans="1:9" ht="24" customHeight="1">
      <c r="A58" s="24"/>
      <c r="B58" s="25"/>
      <c r="C58" s="53"/>
      <c r="D58" s="54"/>
      <c r="E58" s="55"/>
      <c r="F58" s="56">
        <f t="shared" ref="F58:F64" si="0">D58*E58</f>
        <v>0</v>
      </c>
      <c r="G58" s="18"/>
      <c r="H58" s="2"/>
      <c r="I58" s="3"/>
    </row>
    <row r="59" spans="1:9" ht="24" customHeight="1">
      <c r="A59" s="24"/>
      <c r="B59" s="25"/>
      <c r="C59" s="53"/>
      <c r="D59" s="54"/>
      <c r="E59" s="55"/>
      <c r="F59" s="57">
        <f t="shared" si="0"/>
        <v>0</v>
      </c>
      <c r="G59" s="18"/>
      <c r="H59" s="2"/>
      <c r="I59" s="3"/>
    </row>
    <row r="60" spans="1:9" ht="24" customHeight="1">
      <c r="A60" s="24"/>
      <c r="B60" s="25"/>
      <c r="C60" s="58"/>
      <c r="D60" s="59"/>
      <c r="E60" s="60"/>
      <c r="F60" s="57">
        <f t="shared" si="0"/>
        <v>0</v>
      </c>
      <c r="G60" s="18"/>
      <c r="H60" s="2"/>
      <c r="I60" s="3"/>
    </row>
    <row r="61" spans="1:9" ht="24" customHeight="1">
      <c r="A61" s="24"/>
      <c r="B61" s="25"/>
      <c r="C61" s="58"/>
      <c r="D61" s="59"/>
      <c r="E61" s="60"/>
      <c r="F61" s="57">
        <f t="shared" si="0"/>
        <v>0</v>
      </c>
      <c r="G61" s="18"/>
      <c r="H61" s="2"/>
      <c r="I61" s="3"/>
    </row>
    <row r="62" spans="1:9" ht="24" customHeight="1">
      <c r="A62" s="24"/>
      <c r="B62" s="25"/>
      <c r="C62" s="58"/>
      <c r="D62" s="59"/>
      <c r="E62" s="60"/>
      <c r="F62" s="57">
        <f t="shared" si="0"/>
        <v>0</v>
      </c>
      <c r="G62" s="18"/>
      <c r="H62" s="2"/>
      <c r="I62" s="3"/>
    </row>
    <row r="63" spans="1:9" ht="24" customHeight="1">
      <c r="A63" s="24"/>
      <c r="B63" s="25"/>
      <c r="C63" s="58"/>
      <c r="D63" s="59"/>
      <c r="E63" s="60"/>
      <c r="F63" s="57">
        <f t="shared" si="0"/>
        <v>0</v>
      </c>
      <c r="G63" s="18"/>
      <c r="H63" s="2"/>
      <c r="I63" s="3"/>
    </row>
    <row r="64" spans="1:9" ht="24" customHeight="1">
      <c r="A64" s="24"/>
      <c r="B64" s="25"/>
      <c r="C64" s="61"/>
      <c r="D64" s="62"/>
      <c r="E64" s="63"/>
      <c r="F64" s="64">
        <f t="shared" si="0"/>
        <v>0</v>
      </c>
      <c r="G64" s="18"/>
      <c r="H64" s="2"/>
      <c r="I64" s="3"/>
    </row>
    <row r="65" spans="1:9" ht="24" customHeight="1">
      <c r="A65" s="24"/>
      <c r="B65" s="25"/>
      <c r="C65" s="129" t="s">
        <v>46</v>
      </c>
      <c r="D65" s="130"/>
      <c r="E65" s="65"/>
      <c r="F65" s="66">
        <f>SUM(F58:F64)</f>
        <v>0</v>
      </c>
      <c r="G65" s="18"/>
      <c r="H65" s="2"/>
      <c r="I65" s="3"/>
    </row>
    <row r="66" spans="1:9" ht="59.25" customHeight="1">
      <c r="A66" s="33"/>
      <c r="B66" s="34"/>
      <c r="C66" s="131" t="s">
        <v>47</v>
      </c>
      <c r="D66" s="132"/>
      <c r="E66" s="130"/>
      <c r="F66" s="67">
        <f>F65+F51+F45+E39</f>
        <v>831660</v>
      </c>
      <c r="G66" s="18"/>
      <c r="H66" s="2"/>
      <c r="I66" s="3"/>
    </row>
    <row r="67" spans="1:9" ht="15.75" customHeight="1">
      <c r="A67" s="1"/>
      <c r="B67" s="36"/>
      <c r="C67" s="37"/>
      <c r="D67" s="37"/>
      <c r="E67" s="37"/>
      <c r="F67" s="37"/>
      <c r="G67" s="38"/>
      <c r="H67" s="2"/>
      <c r="I67" s="3"/>
    </row>
    <row r="68" spans="1:9" ht="15.75" customHeight="1">
      <c r="A68" s="1"/>
      <c r="B68" s="1"/>
      <c r="H68" s="2"/>
      <c r="I68" s="3"/>
    </row>
    <row r="69" spans="1:9" ht="15.75" customHeight="1">
      <c r="A69" s="1"/>
      <c r="B69" s="1"/>
      <c r="H69" s="2"/>
      <c r="I69" s="3"/>
    </row>
    <row r="70" spans="1:9" ht="15.75" customHeight="1">
      <c r="A70" s="1"/>
      <c r="B70" s="10"/>
      <c r="C70" s="11"/>
      <c r="D70" s="11"/>
      <c r="E70" s="11"/>
      <c r="F70" s="11"/>
      <c r="G70" s="12"/>
      <c r="H70" s="2"/>
      <c r="I70" s="3"/>
    </row>
    <row r="71" spans="1:9" ht="15.75" customHeight="1">
      <c r="A71" s="1"/>
      <c r="B71" s="17"/>
      <c r="C71" s="133" t="s">
        <v>48</v>
      </c>
      <c r="D71" s="123"/>
      <c r="E71" s="123"/>
      <c r="F71" s="124"/>
      <c r="G71" s="18"/>
      <c r="H71" s="2"/>
      <c r="I71" s="3"/>
    </row>
    <row r="72" spans="1:9" ht="15.75" customHeight="1">
      <c r="A72" s="1"/>
      <c r="B72" s="17"/>
      <c r="C72" s="134" t="s">
        <v>49</v>
      </c>
      <c r="D72" s="135"/>
      <c r="E72" s="135"/>
      <c r="F72" s="136"/>
      <c r="G72" s="18"/>
      <c r="H72" s="2"/>
      <c r="I72" s="3"/>
    </row>
    <row r="73" spans="1:9" ht="15.75" customHeight="1">
      <c r="A73" s="1"/>
      <c r="B73" s="17"/>
      <c r="C73" s="137"/>
      <c r="D73" s="138"/>
      <c r="E73" s="138"/>
      <c r="F73" s="139"/>
      <c r="G73" s="18"/>
      <c r="H73" s="2"/>
      <c r="I73" s="3"/>
    </row>
    <row r="74" spans="1:9" ht="15.75" customHeight="1">
      <c r="A74" s="1"/>
      <c r="B74" s="17"/>
      <c r="C74" s="137"/>
      <c r="D74" s="138"/>
      <c r="E74" s="138"/>
      <c r="F74" s="139"/>
      <c r="G74" s="18"/>
      <c r="H74" s="2"/>
      <c r="I74" s="3"/>
    </row>
    <row r="75" spans="1:9" ht="15.75" customHeight="1">
      <c r="A75" s="1"/>
      <c r="B75" s="17"/>
      <c r="C75" s="140"/>
      <c r="D75" s="141"/>
      <c r="E75" s="141"/>
      <c r="F75" s="142"/>
      <c r="G75" s="18"/>
      <c r="H75" s="2"/>
      <c r="I75" s="3"/>
    </row>
    <row r="76" spans="1:9" ht="36" customHeight="1">
      <c r="A76" s="13"/>
      <c r="B76" s="14"/>
      <c r="C76" s="68" t="s">
        <v>50</v>
      </c>
      <c r="D76" s="143" t="s">
        <v>51</v>
      </c>
      <c r="E76" s="144"/>
      <c r="F76" s="69" t="s">
        <v>52</v>
      </c>
      <c r="G76" s="15"/>
      <c r="H76" s="16"/>
      <c r="I76" s="3"/>
    </row>
    <row r="77" spans="1:9" ht="36" customHeight="1">
      <c r="A77" s="13"/>
      <c r="B77" s="14"/>
      <c r="C77" s="70">
        <f>F66/F21</f>
        <v>16972.65306122449</v>
      </c>
      <c r="D77" s="148">
        <f>C77/12</f>
        <v>1414.3877551020407</v>
      </c>
      <c r="E77" s="149"/>
      <c r="F77" s="71">
        <f>D77/30.5</f>
        <v>46.373369019739037</v>
      </c>
      <c r="G77" s="15"/>
      <c r="H77" s="16"/>
      <c r="I77" s="3"/>
    </row>
    <row r="78" spans="1:9" ht="21" customHeight="1">
      <c r="A78" s="1"/>
      <c r="B78" s="17"/>
      <c r="C78" s="1"/>
      <c r="D78" s="1"/>
      <c r="E78" s="1"/>
      <c r="F78" s="1"/>
      <c r="G78" s="18"/>
      <c r="H78" s="2"/>
      <c r="I78" s="3"/>
    </row>
    <row r="79" spans="1:9" ht="31.5" customHeight="1">
      <c r="A79" s="1"/>
      <c r="B79" s="17"/>
      <c r="C79" s="122" t="s">
        <v>53</v>
      </c>
      <c r="D79" s="123"/>
      <c r="E79" s="123"/>
      <c r="F79" s="124"/>
      <c r="G79" s="18"/>
      <c r="H79" s="2"/>
      <c r="I79" s="3"/>
    </row>
    <row r="80" spans="1:9" ht="15.75" customHeight="1">
      <c r="A80" s="1"/>
      <c r="B80" s="17"/>
      <c r="C80" s="125" t="s">
        <v>54</v>
      </c>
      <c r="D80" s="123"/>
      <c r="E80" s="123"/>
      <c r="F80" s="124"/>
      <c r="G80" s="18"/>
      <c r="H80" s="2"/>
      <c r="I80" s="3"/>
    </row>
    <row r="81" spans="1:9" ht="24.75" customHeight="1">
      <c r="A81" s="1"/>
      <c r="B81" s="36"/>
      <c r="C81" s="37"/>
      <c r="D81" s="37"/>
      <c r="E81" s="37"/>
      <c r="F81" s="37"/>
      <c r="G81" s="38"/>
      <c r="H81" s="2"/>
      <c r="I81" s="3"/>
    </row>
    <row r="82" spans="1:9" ht="15.75" customHeight="1">
      <c r="A82" s="1"/>
      <c r="B82" s="1"/>
      <c r="H82" s="2"/>
      <c r="I82" s="3"/>
    </row>
    <row r="83" spans="1:9" ht="15.75" customHeight="1">
      <c r="A83" s="1"/>
      <c r="B83" s="1"/>
      <c r="H83" s="2"/>
      <c r="I83" s="3"/>
    </row>
    <row r="84" spans="1:9" ht="15.75" customHeight="1">
      <c r="A84" s="1"/>
      <c r="B84" s="1"/>
      <c r="H84" s="2"/>
      <c r="I84" s="3"/>
    </row>
    <row r="85" spans="1:9" ht="15.75" customHeight="1">
      <c r="A85" s="1"/>
      <c r="B85" s="1"/>
      <c r="H85" s="2"/>
      <c r="I85" s="3"/>
    </row>
    <row r="86" spans="1:9" ht="15.75" customHeight="1">
      <c r="A86" s="1"/>
      <c r="B86" s="1"/>
      <c r="H86" s="2"/>
      <c r="I86" s="3"/>
    </row>
    <row r="87" spans="1:9" ht="15.75" customHeight="1">
      <c r="A87" s="1"/>
      <c r="B87" s="1"/>
      <c r="H87" s="2"/>
      <c r="I87" s="3"/>
    </row>
    <row r="88" spans="1:9" ht="15.75" customHeight="1">
      <c r="A88" s="1"/>
      <c r="B88" s="1"/>
      <c r="H88" s="2"/>
      <c r="I88" s="3"/>
    </row>
    <row r="89" spans="1:9" ht="15.75" customHeight="1">
      <c r="A89" s="1"/>
      <c r="B89" s="1"/>
      <c r="H89" s="2"/>
      <c r="I89" s="3"/>
    </row>
    <row r="90" spans="1:9" ht="15.75" customHeight="1">
      <c r="A90" s="1"/>
      <c r="B90" s="1"/>
      <c r="H90" s="2"/>
      <c r="I90" s="3"/>
    </row>
    <row r="91" spans="1:9" ht="15.75" customHeight="1"/>
    <row r="92" spans="1:9" ht="15.75" customHeight="1"/>
    <row r="93" spans="1:9" ht="15.75" customHeight="1"/>
    <row r="94" spans="1:9" ht="15.75" customHeight="1"/>
    <row r="95" spans="1:9" ht="15.75" customHeight="1"/>
    <row r="96" spans="1:9"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C9:F9"/>
    <mergeCell ref="C13:F13"/>
    <mergeCell ref="C15:F15"/>
    <mergeCell ref="C16:F16"/>
    <mergeCell ref="C17:E17"/>
    <mergeCell ref="C18:E18"/>
    <mergeCell ref="C19:E19"/>
    <mergeCell ref="C20:E20"/>
    <mergeCell ref="C21:E21"/>
    <mergeCell ref="C26:F26"/>
    <mergeCell ref="C28:F28"/>
    <mergeCell ref="C29:F29"/>
    <mergeCell ref="C30:D30"/>
    <mergeCell ref="C31:D31"/>
    <mergeCell ref="C32:D32"/>
    <mergeCell ref="E32:F32"/>
    <mergeCell ref="C33:E33"/>
    <mergeCell ref="C34:E34"/>
    <mergeCell ref="C35:F35"/>
    <mergeCell ref="C36:E36"/>
    <mergeCell ref="C37:E37"/>
    <mergeCell ref="C38:F38"/>
    <mergeCell ref="C39:D39"/>
    <mergeCell ref="E39:F39"/>
    <mergeCell ref="C42:F42"/>
    <mergeCell ref="C43:F43"/>
    <mergeCell ref="C44:E44"/>
    <mergeCell ref="C45:E45"/>
    <mergeCell ref="C48:F48"/>
    <mergeCell ref="C49:F49"/>
    <mergeCell ref="C50:E50"/>
    <mergeCell ref="C51:E51"/>
    <mergeCell ref="C52:F52"/>
    <mergeCell ref="C53:F53"/>
    <mergeCell ref="C54:E54"/>
    <mergeCell ref="D77:E77"/>
    <mergeCell ref="C79:F79"/>
    <mergeCell ref="C80:F80"/>
    <mergeCell ref="C55:F55"/>
    <mergeCell ref="C56:F56"/>
    <mergeCell ref="C65:D65"/>
    <mergeCell ref="C66:E66"/>
    <mergeCell ref="C71:F71"/>
    <mergeCell ref="C72:F75"/>
    <mergeCell ref="D76:E76"/>
  </mergeCells>
  <pageMargins left="0.7" right="0.7" top="0.75" bottom="0.75" header="0" footer="0"/>
  <pageSetup orientation="landscape"/>
  <drawing r:id="rId1"/>
  <tableParts count="5">
    <tablePart r:id="rId2"/>
    <tablePart r:id="rId3"/>
    <tablePart r:id="rId4"/>
    <tablePart r:id="rId5"/>
    <tablePart r:id="rId6"/>
  </tableParts>
  <extLst>
    <ext xmlns:x14="http://schemas.microsoft.com/office/spreadsheetml/2009/9/main" uri="{CCE6A557-97BC-4b89-ADB6-D9C93CAAB3DF}">
      <x14:dataValidations xmlns:xm="http://schemas.microsoft.com/office/excel/2006/main" count="1">
        <x14:dataValidation type="list" allowBlank="1" showInputMessage="1" prompt="Feel free to customize this number." xr:uid="{00000000-0002-0000-0000-000000000000}">
          <x14:formula1>
            <xm:f>Variables!$A$2:$A$5</xm:f>
          </x14:formula1>
          <xm:sqref>F45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D21"/>
  <sheetViews>
    <sheetView showGridLines="0" zoomScale="150" workbookViewId="0">
      <selection activeCell="B11" sqref="B11"/>
    </sheetView>
  </sheetViews>
  <sheetFormatPr baseColWidth="10" defaultColWidth="12.6640625" defaultRowHeight="15" customHeight="1"/>
  <cols>
    <col min="1" max="1" width="3.33203125" customWidth="1"/>
    <col min="2" max="2" width="17.33203125" bestFit="1" customWidth="1"/>
  </cols>
  <sheetData>
    <row r="2" spans="2:4" ht="15" customHeight="1">
      <c r="B2" s="72">
        <v>5769</v>
      </c>
      <c r="C2" s="73" t="s">
        <v>55</v>
      </c>
    </row>
    <row r="4" spans="2:4" ht="15" customHeight="1">
      <c r="B4" s="74">
        <v>537000000</v>
      </c>
      <c r="C4" s="75" t="s">
        <v>56</v>
      </c>
    </row>
    <row r="5" spans="2:4" ht="15" customHeight="1">
      <c r="B5" s="76">
        <f>B4*B2</f>
        <v>3097953000000</v>
      </c>
      <c r="C5" s="77" t="s">
        <v>57</v>
      </c>
    </row>
    <row r="7" spans="2:4" ht="15" customHeight="1">
      <c r="B7" s="74">
        <v>72000000</v>
      </c>
      <c r="C7" s="75" t="s">
        <v>58</v>
      </c>
    </row>
    <row r="8" spans="2:4" ht="15" customHeight="1">
      <c r="B8" s="78">
        <f>B7*B2</f>
        <v>415368000000</v>
      </c>
      <c r="C8" s="77" t="s">
        <v>59</v>
      </c>
    </row>
    <row r="10" spans="2:4" ht="15" customHeight="1">
      <c r="B10" s="79">
        <v>5.0000000000000001E-3</v>
      </c>
      <c r="C10" s="80" t="s">
        <v>60</v>
      </c>
    </row>
    <row r="11" spans="2:4" ht="15" customHeight="1">
      <c r="B11" s="74">
        <f>B10*B7</f>
        <v>360000</v>
      </c>
    </row>
    <row r="12" spans="2:4" ht="15" customHeight="1">
      <c r="B12" s="78">
        <f>B11*B2</f>
        <v>2076840000</v>
      </c>
      <c r="C12" s="77" t="s">
        <v>61</v>
      </c>
    </row>
    <row r="13" spans="2:4" ht="15" customHeight="1">
      <c r="B13" s="81"/>
    </row>
    <row r="16" spans="2:4" ht="15" customHeight="1">
      <c r="C16" s="82"/>
      <c r="D16" s="82"/>
    </row>
    <row r="17" spans="2:4" ht="15" customHeight="1">
      <c r="B17" s="83"/>
      <c r="D17" s="82"/>
    </row>
    <row r="18" spans="2:4" ht="15" customHeight="1">
      <c r="B18" s="83"/>
      <c r="D18" s="84"/>
    </row>
    <row r="19" spans="2:4" ht="15" customHeight="1">
      <c r="B19" s="83"/>
      <c r="D19" s="84"/>
    </row>
    <row r="20" spans="2:4" ht="15" customHeight="1">
      <c r="B20" s="83"/>
      <c r="D20" s="84"/>
    </row>
    <row r="21" spans="2:4" ht="15" customHeight="1">
      <c r="B21" s="83"/>
      <c r="D21" s="8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409F7-380A-6642-80F9-E44C1C0F254F}">
  <sheetPr>
    <outlinePr summaryBelow="0" summaryRight="0"/>
  </sheetPr>
  <dimension ref="B2:E24"/>
  <sheetViews>
    <sheetView showGridLines="0" zoomScale="150" workbookViewId="0">
      <selection activeCell="B14" sqref="B14"/>
    </sheetView>
  </sheetViews>
  <sheetFormatPr baseColWidth="10" defaultColWidth="12.6640625" defaultRowHeight="15" customHeight="1"/>
  <cols>
    <col min="1" max="1" width="3.33203125" customWidth="1"/>
    <col min="2" max="2" width="17.33203125" bestFit="1" customWidth="1"/>
    <col min="5" max="5" width="14.6640625" bestFit="1" customWidth="1"/>
  </cols>
  <sheetData>
    <row r="2" spans="2:5" ht="15" customHeight="1">
      <c r="B2" s="116">
        <f>1.99*12</f>
        <v>23.88</v>
      </c>
      <c r="C2" s="115" t="s">
        <v>154</v>
      </c>
    </row>
    <row r="4" spans="2:5" ht="15" customHeight="1">
      <c r="B4" s="74">
        <v>555360000</v>
      </c>
      <c r="C4" s="75" t="s">
        <v>56</v>
      </c>
    </row>
    <row r="5" spans="2:5" ht="15" customHeight="1">
      <c r="B5" s="74">
        <v>3</v>
      </c>
      <c r="C5" s="75" t="s">
        <v>152</v>
      </c>
    </row>
    <row r="6" spans="2:5" ht="15" customHeight="1">
      <c r="B6" s="74">
        <f>B4/B5</f>
        <v>185120000</v>
      </c>
      <c r="C6" s="75" t="s">
        <v>153</v>
      </c>
      <c r="E6" s="117"/>
    </row>
    <row r="7" spans="2:5" ht="15" customHeight="1">
      <c r="B7" s="76">
        <f>B4*B2</f>
        <v>13261996800</v>
      </c>
      <c r="C7" s="77" t="s">
        <v>57</v>
      </c>
    </row>
    <row r="9" spans="2:5" ht="15" customHeight="1">
      <c r="B9" s="118">
        <v>0.4</v>
      </c>
      <c r="C9" s="75" t="s">
        <v>156</v>
      </c>
    </row>
    <row r="10" spans="2:5" ht="15" customHeight="1">
      <c r="B10" s="119">
        <f>B9*B6</f>
        <v>74048000</v>
      </c>
      <c r="C10" s="75" t="s">
        <v>157</v>
      </c>
    </row>
    <row r="11" spans="2:5" ht="15" customHeight="1">
      <c r="B11" s="78">
        <f>B9*B7</f>
        <v>5304798720</v>
      </c>
      <c r="C11" s="77" t="s">
        <v>59</v>
      </c>
    </row>
    <row r="13" spans="2:5" ht="15" customHeight="1">
      <c r="B13" s="79">
        <v>5.0000000000000001E-3</v>
      </c>
      <c r="C13" s="80" t="s">
        <v>60</v>
      </c>
    </row>
    <row r="14" spans="2:5" ht="15" customHeight="1">
      <c r="B14" s="119">
        <f>B10*B13</f>
        <v>370240</v>
      </c>
      <c r="C14" s="120" t="s">
        <v>158</v>
      </c>
    </row>
    <row r="15" spans="2:5" ht="15" customHeight="1">
      <c r="B15" s="78">
        <f>B13*B11</f>
        <v>26523993.600000001</v>
      </c>
      <c r="C15" s="77" t="s">
        <v>159</v>
      </c>
    </row>
    <row r="16" spans="2:5" ht="15" customHeight="1">
      <c r="B16" s="81">
        <f>B14*B2</f>
        <v>8841331.1999999993</v>
      </c>
      <c r="C16" t="s">
        <v>162</v>
      </c>
    </row>
    <row r="17" spans="2:4" ht="15" customHeight="1">
      <c r="B17" s="121">
        <f>B16/B15</f>
        <v>0.33333333333333326</v>
      </c>
      <c r="C17" t="s">
        <v>163</v>
      </c>
    </row>
    <row r="19" spans="2:4" ht="15" customHeight="1">
      <c r="C19" s="82"/>
      <c r="D19" s="82"/>
    </row>
    <row r="20" spans="2:4" ht="15" customHeight="1">
      <c r="B20" s="83" t="s">
        <v>155</v>
      </c>
      <c r="D20" s="82"/>
    </row>
    <row r="21" spans="2:4" ht="15" customHeight="1">
      <c r="B21" s="83"/>
      <c r="D21" s="84"/>
    </row>
    <row r="22" spans="2:4" ht="15" customHeight="1">
      <c r="B22" s="83"/>
      <c r="D22" s="84"/>
    </row>
    <row r="23" spans="2:4" ht="15" customHeight="1">
      <c r="B23" s="83"/>
      <c r="D23" s="84"/>
    </row>
    <row r="24" spans="2:4" ht="15" customHeight="1">
      <c r="B24" s="83"/>
      <c r="D24" s="8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001"/>
  <sheetViews>
    <sheetView showGridLines="0" topLeftCell="A44" workbookViewId="0">
      <selection activeCell="D64" sqref="D64"/>
    </sheetView>
  </sheetViews>
  <sheetFormatPr baseColWidth="10" defaultColWidth="12.6640625" defaultRowHeight="15" customHeight="1" outlineLevelRow="1"/>
  <cols>
    <col min="1" max="1" width="0.6640625" customWidth="1"/>
    <col min="2" max="2" width="2" customWidth="1"/>
    <col min="3" max="3" width="32.83203125" customWidth="1"/>
    <col min="4" max="5" width="14.5" customWidth="1"/>
    <col min="6" max="6" width="29.1640625" customWidth="1"/>
    <col min="7" max="7" width="2" customWidth="1"/>
    <col min="8" max="9" width="1.33203125" customWidth="1"/>
    <col min="10" max="10" width="4" customWidth="1"/>
    <col min="11" max="13" width="14.5" customWidth="1"/>
    <col min="14" max="14" width="22.33203125" customWidth="1"/>
    <col min="15" max="27" width="14.5" customWidth="1"/>
  </cols>
  <sheetData>
    <row r="1" spans="1:14" ht="15.75" customHeight="1">
      <c r="A1" s="1"/>
      <c r="B1" s="1"/>
      <c r="H1" s="2"/>
      <c r="I1" s="3"/>
    </row>
    <row r="2" spans="1:14" ht="15.75" customHeight="1">
      <c r="A2" s="1"/>
      <c r="B2" s="1"/>
      <c r="H2" s="2"/>
      <c r="I2" s="3"/>
    </row>
    <row r="3" spans="1:14" ht="15.75" customHeight="1">
      <c r="A3" s="1"/>
      <c r="B3" s="1"/>
      <c r="H3" s="2"/>
      <c r="I3" s="3"/>
    </row>
    <row r="4" spans="1:14" ht="15.75" customHeight="1">
      <c r="A4" s="1"/>
      <c r="C4" s="4" t="s">
        <v>0</v>
      </c>
      <c r="D4" s="4"/>
      <c r="E4" s="4"/>
      <c r="F4" s="4"/>
      <c r="G4" s="4"/>
      <c r="H4" s="2"/>
      <c r="I4" s="3"/>
    </row>
    <row r="5" spans="1:14" ht="15.75" customHeight="1">
      <c r="A5" s="1"/>
      <c r="B5" s="4"/>
      <c r="C5" s="5" t="s">
        <v>1</v>
      </c>
      <c r="D5" s="4"/>
      <c r="E5" s="4"/>
      <c r="F5" s="4"/>
      <c r="G5" s="4"/>
      <c r="H5" s="2"/>
      <c r="I5" s="3"/>
    </row>
    <row r="6" spans="1:14" ht="15.75" customHeight="1">
      <c r="A6" s="1"/>
      <c r="C6" s="5"/>
      <c r="D6" s="5"/>
      <c r="E6" s="5"/>
      <c r="F6" s="5"/>
      <c r="G6" s="5"/>
      <c r="H6" s="2"/>
      <c r="I6" s="3"/>
    </row>
    <row r="7" spans="1:14" ht="15.75" customHeight="1">
      <c r="A7" s="1"/>
      <c r="B7" s="1"/>
      <c r="H7" s="2"/>
      <c r="I7" s="3"/>
    </row>
    <row r="8" spans="1:14" ht="15.75" customHeight="1">
      <c r="A8" s="1"/>
      <c r="B8" s="1"/>
      <c r="C8" s="6"/>
      <c r="D8" s="6"/>
      <c r="E8" s="6"/>
      <c r="F8" s="6"/>
      <c r="H8" s="2"/>
      <c r="I8" s="3"/>
    </row>
    <row r="9" spans="1:14" ht="78.75" customHeight="1">
      <c r="A9" s="7"/>
      <c r="B9" s="8"/>
      <c r="C9" s="164" t="s">
        <v>2</v>
      </c>
      <c r="D9" s="123"/>
      <c r="E9" s="123"/>
      <c r="F9" s="124"/>
      <c r="G9" s="9"/>
      <c r="H9" s="2"/>
      <c r="I9" s="3"/>
    </row>
    <row r="10" spans="1:14" ht="15.75" customHeight="1">
      <c r="A10" s="1"/>
      <c r="B10" s="1"/>
      <c r="H10" s="2"/>
      <c r="I10" s="3"/>
    </row>
    <row r="11" spans="1:14" ht="15.75" customHeight="1">
      <c r="A11" s="1"/>
      <c r="B11" s="1"/>
      <c r="H11" s="2"/>
      <c r="I11" s="3"/>
    </row>
    <row r="12" spans="1:14" ht="15.75" customHeight="1">
      <c r="A12" s="1"/>
      <c r="B12" s="10"/>
      <c r="C12" s="11"/>
      <c r="D12" s="11"/>
      <c r="E12" s="11"/>
      <c r="F12" s="11"/>
      <c r="G12" s="12"/>
      <c r="H12" s="2"/>
      <c r="I12" s="3"/>
    </row>
    <row r="13" spans="1:14" ht="36" customHeight="1">
      <c r="A13" s="13"/>
      <c r="B13" s="14"/>
      <c r="C13" s="165" t="s">
        <v>3</v>
      </c>
      <c r="D13" s="123"/>
      <c r="E13" s="123"/>
      <c r="F13" s="124"/>
      <c r="G13" s="15"/>
      <c r="H13" s="16"/>
      <c r="I13" s="3"/>
    </row>
    <row r="14" spans="1:14" ht="15.75" customHeight="1">
      <c r="A14" s="1"/>
      <c r="B14" s="17"/>
      <c r="C14" s="1"/>
      <c r="D14" s="1"/>
      <c r="E14" s="1"/>
      <c r="F14" s="1"/>
      <c r="G14" s="18"/>
      <c r="H14" s="2"/>
      <c r="I14" s="3"/>
    </row>
    <row r="15" spans="1:14" ht="36.75" customHeight="1">
      <c r="A15" s="19"/>
      <c r="B15" s="20"/>
      <c r="C15" s="157" t="s">
        <v>4</v>
      </c>
      <c r="D15" s="151"/>
      <c r="E15" s="151"/>
      <c r="F15" s="152"/>
      <c r="G15" s="21"/>
      <c r="H15" s="2"/>
      <c r="I15" s="3"/>
    </row>
    <row r="16" spans="1:14" ht="60" customHeight="1">
      <c r="A16" s="22"/>
      <c r="B16" s="23"/>
      <c r="C16" s="153" t="s">
        <v>5</v>
      </c>
      <c r="D16" s="123"/>
      <c r="E16" s="123"/>
      <c r="F16" s="127"/>
      <c r="G16" s="18"/>
      <c r="H16" s="2"/>
      <c r="I16" s="3"/>
      <c r="J16" s="72"/>
      <c r="K16" s="85">
        <v>5769</v>
      </c>
      <c r="L16" s="73" t="s">
        <v>55</v>
      </c>
      <c r="M16" s="83"/>
      <c r="N16" s="83"/>
    </row>
    <row r="17" spans="1:14" ht="24" customHeight="1">
      <c r="A17" s="24"/>
      <c r="B17" s="25"/>
      <c r="C17" s="147" t="s">
        <v>6</v>
      </c>
      <c r="D17" s="123"/>
      <c r="E17" s="124"/>
      <c r="F17" s="26" t="s">
        <v>7</v>
      </c>
      <c r="G17" s="27"/>
      <c r="H17" s="28"/>
      <c r="I17" s="3"/>
      <c r="J17" s="86"/>
      <c r="K17" s="87">
        <v>1.4999999999999999E-2</v>
      </c>
      <c r="L17" s="73" t="s">
        <v>62</v>
      </c>
      <c r="M17" s="83"/>
      <c r="N17" s="83">
        <f>5769*0.01</f>
        <v>57.69</v>
      </c>
    </row>
    <row r="18" spans="1:14" ht="54" customHeight="1">
      <c r="A18" s="29"/>
      <c r="B18" s="30"/>
      <c r="C18" s="159" t="s">
        <v>63</v>
      </c>
      <c r="D18" s="132"/>
      <c r="E18" s="130"/>
      <c r="F18" s="31">
        <f>K17*K16</f>
        <v>86.534999999999997</v>
      </c>
      <c r="G18" s="18"/>
      <c r="H18" s="2"/>
      <c r="I18" s="3"/>
      <c r="K18" s="83" t="s">
        <v>64</v>
      </c>
      <c r="L18" s="83"/>
      <c r="M18" s="83"/>
      <c r="N18" s="83"/>
    </row>
    <row r="19" spans="1:14" ht="24" customHeight="1">
      <c r="A19" s="24"/>
      <c r="B19" s="25"/>
      <c r="C19" s="147" t="s">
        <v>9</v>
      </c>
      <c r="D19" s="123"/>
      <c r="E19" s="124"/>
      <c r="F19" s="26" t="s">
        <v>10</v>
      </c>
      <c r="G19" s="27"/>
      <c r="H19" s="28"/>
      <c r="I19" s="3"/>
      <c r="J19" s="88"/>
      <c r="K19" s="89">
        <f>28050/2805000</f>
        <v>0.01</v>
      </c>
      <c r="L19" s="90">
        <f>'Market Sizing'!B11*K19</f>
        <v>3600</v>
      </c>
      <c r="M19" s="83" t="s">
        <v>60</v>
      </c>
      <c r="N19" s="83"/>
    </row>
    <row r="20" spans="1:14" ht="57" customHeight="1">
      <c r="A20" s="29"/>
      <c r="B20" s="30"/>
      <c r="C20" s="161" t="s">
        <v>11</v>
      </c>
      <c r="D20" s="123"/>
      <c r="E20" s="124"/>
      <c r="F20" s="31">
        <v>12</v>
      </c>
      <c r="G20" s="18"/>
      <c r="H20" s="32"/>
      <c r="I20" s="3"/>
      <c r="J20" s="91"/>
      <c r="K20" s="73"/>
      <c r="L20" s="73"/>
      <c r="M20" s="83"/>
      <c r="N20" s="83"/>
    </row>
    <row r="21" spans="1:14" ht="57" customHeight="1">
      <c r="A21" s="29"/>
      <c r="B21" s="30"/>
      <c r="C21" s="161" t="s">
        <v>65</v>
      </c>
      <c r="D21" s="123"/>
      <c r="E21" s="124"/>
      <c r="F21" s="31">
        <f>L19</f>
        <v>3600</v>
      </c>
      <c r="G21" s="18"/>
      <c r="H21" s="32"/>
      <c r="I21" s="3"/>
      <c r="J21" s="91"/>
      <c r="K21" s="73"/>
      <c r="L21" s="73"/>
      <c r="M21" s="83"/>
      <c r="N21" s="83"/>
    </row>
    <row r="22" spans="1:14" ht="39.75" customHeight="1">
      <c r="A22" s="33"/>
      <c r="B22" s="34"/>
      <c r="C22" s="162" t="s">
        <v>12</v>
      </c>
      <c r="D22" s="132"/>
      <c r="E22" s="130"/>
      <c r="F22" s="35">
        <f>F18*F20*F21</f>
        <v>3738312.0000000005</v>
      </c>
      <c r="G22" s="18"/>
      <c r="H22" s="2"/>
      <c r="I22" s="3"/>
      <c r="J22" s="91"/>
      <c r="K22" s="73"/>
      <c r="L22" s="73"/>
      <c r="M22" s="83"/>
      <c r="N22" s="83"/>
    </row>
    <row r="23" spans="1:14" ht="15.75" customHeight="1">
      <c r="A23" s="1"/>
      <c r="B23" s="36"/>
      <c r="C23" s="37"/>
      <c r="D23" s="37"/>
      <c r="E23" s="37"/>
      <c r="F23" s="37"/>
      <c r="G23" s="38"/>
      <c r="H23" s="2"/>
      <c r="I23" s="3"/>
      <c r="J23" s="92"/>
      <c r="K23" s="73"/>
      <c r="L23" s="73"/>
      <c r="M23" s="83"/>
      <c r="N23" s="83"/>
    </row>
    <row r="24" spans="1:14" ht="15.75" customHeight="1">
      <c r="A24" s="1"/>
      <c r="B24" s="1"/>
      <c r="H24" s="2"/>
      <c r="I24" s="3"/>
      <c r="J24" s="91"/>
      <c r="K24" s="73"/>
      <c r="L24" s="73"/>
      <c r="M24" s="83"/>
      <c r="N24" s="83"/>
    </row>
    <row r="25" spans="1:14" ht="15.75" customHeight="1">
      <c r="A25" s="1"/>
      <c r="B25" s="1"/>
      <c r="H25" s="2"/>
      <c r="I25" s="3"/>
      <c r="J25" s="93"/>
      <c r="K25" s="93"/>
      <c r="L25" s="86"/>
      <c r="M25" s="93"/>
    </row>
    <row r="26" spans="1:14" ht="15.75" customHeight="1">
      <c r="A26" s="1"/>
      <c r="B26" s="10"/>
      <c r="C26" s="11"/>
      <c r="D26" s="11"/>
      <c r="E26" s="11"/>
      <c r="F26" s="11"/>
      <c r="G26" s="12"/>
      <c r="H26" s="2"/>
      <c r="I26" s="3"/>
    </row>
    <row r="27" spans="1:14" ht="15.75" customHeight="1">
      <c r="A27" s="1"/>
      <c r="B27" s="17"/>
      <c r="C27" s="163" t="s">
        <v>13</v>
      </c>
      <c r="D27" s="123"/>
      <c r="E27" s="123"/>
      <c r="F27" s="124"/>
      <c r="G27" s="18"/>
      <c r="H27" s="2"/>
      <c r="I27" s="3"/>
    </row>
    <row r="28" spans="1:14" ht="15.75" customHeight="1">
      <c r="A28" s="1"/>
      <c r="B28" s="17"/>
      <c r="C28" s="1"/>
      <c r="D28" s="1"/>
      <c r="E28" s="1"/>
      <c r="F28" s="1"/>
      <c r="G28" s="18"/>
      <c r="H28" s="2"/>
      <c r="I28" s="3"/>
    </row>
    <row r="29" spans="1:14" ht="35.25" customHeight="1">
      <c r="A29" s="19"/>
      <c r="B29" s="20"/>
      <c r="C29" s="157" t="s">
        <v>14</v>
      </c>
      <c r="D29" s="151"/>
      <c r="E29" s="151"/>
      <c r="F29" s="152"/>
      <c r="G29" s="18"/>
      <c r="H29" s="2"/>
      <c r="I29" s="3"/>
    </row>
    <row r="30" spans="1:14" ht="45" customHeight="1">
      <c r="A30" s="22"/>
      <c r="B30" s="23"/>
      <c r="C30" s="153" t="s">
        <v>15</v>
      </c>
      <c r="D30" s="123"/>
      <c r="E30" s="123"/>
      <c r="F30" s="127"/>
      <c r="G30" s="18"/>
      <c r="H30" s="39"/>
      <c r="I30" s="3"/>
    </row>
    <row r="31" spans="1:14" ht="24" customHeight="1">
      <c r="A31" s="22"/>
      <c r="B31" s="23"/>
      <c r="C31" s="147" t="s">
        <v>16</v>
      </c>
      <c r="D31" s="124"/>
      <c r="E31" s="40" t="s">
        <v>17</v>
      </c>
      <c r="F31" s="26" t="s">
        <v>18</v>
      </c>
      <c r="G31" s="18"/>
      <c r="H31" s="39"/>
      <c r="I31" s="3"/>
    </row>
    <row r="32" spans="1:14" ht="72" customHeight="1">
      <c r="A32" s="22"/>
      <c r="B32" s="23"/>
      <c r="C32" s="159" t="s">
        <v>19</v>
      </c>
      <c r="D32" s="130"/>
      <c r="E32" s="41">
        <v>125506</v>
      </c>
      <c r="F32" s="42">
        <v>20</v>
      </c>
      <c r="G32" s="18"/>
      <c r="H32" s="39"/>
      <c r="I32" s="3"/>
    </row>
    <row r="33" spans="1:9" ht="15.75" customHeight="1">
      <c r="A33" s="43"/>
      <c r="B33" s="44"/>
      <c r="C33" s="129" t="s">
        <v>20</v>
      </c>
      <c r="D33" s="130"/>
      <c r="E33" s="160">
        <f>SUMPRODUCT(E32, F32)</f>
        <v>2510120</v>
      </c>
      <c r="F33" s="156"/>
      <c r="G33" s="18"/>
      <c r="H33" s="2"/>
      <c r="I33" s="3"/>
    </row>
    <row r="34" spans="1:9" ht="24" customHeight="1">
      <c r="A34" s="24"/>
      <c r="B34" s="25"/>
      <c r="C34" s="147" t="s">
        <v>21</v>
      </c>
      <c r="D34" s="123"/>
      <c r="E34" s="124"/>
      <c r="F34" s="26" t="s">
        <v>22</v>
      </c>
      <c r="G34" s="27"/>
      <c r="H34" s="28"/>
      <c r="I34" s="3"/>
    </row>
    <row r="35" spans="1:9" ht="30" customHeight="1">
      <c r="A35" s="29"/>
      <c r="B35" s="30"/>
      <c r="C35" s="158" t="s">
        <v>66</v>
      </c>
      <c r="D35" s="132"/>
      <c r="E35" s="130"/>
      <c r="F35" s="45">
        <v>0.33329999999999999</v>
      </c>
      <c r="G35" s="18"/>
      <c r="H35" s="2"/>
      <c r="I35" s="3"/>
    </row>
    <row r="36" spans="1:9" ht="15.75" customHeight="1" outlineLevel="1">
      <c r="A36" s="29"/>
      <c r="B36" s="30"/>
      <c r="C36" s="128" t="s">
        <v>67</v>
      </c>
      <c r="D36" s="123"/>
      <c r="E36" s="123"/>
      <c r="F36" s="127"/>
      <c r="G36" s="18"/>
      <c r="H36" s="2"/>
      <c r="I36" s="3"/>
    </row>
    <row r="37" spans="1:9" ht="15.75" customHeight="1">
      <c r="A37" s="24"/>
      <c r="B37" s="25"/>
      <c r="C37" s="147" t="s">
        <v>25</v>
      </c>
      <c r="D37" s="123"/>
      <c r="E37" s="124"/>
      <c r="F37" s="26" t="s">
        <v>22</v>
      </c>
      <c r="G37" s="27"/>
      <c r="H37" s="28"/>
      <c r="I37" s="3"/>
    </row>
    <row r="38" spans="1:9" ht="46.5" customHeight="1" collapsed="1">
      <c r="A38" s="29"/>
      <c r="B38" s="30"/>
      <c r="C38" s="126" t="s">
        <v>68</v>
      </c>
      <c r="D38" s="123"/>
      <c r="E38" s="124"/>
      <c r="F38" s="45">
        <v>0.3</v>
      </c>
      <c r="G38" s="18"/>
      <c r="H38" s="2"/>
      <c r="I38" s="3"/>
    </row>
    <row r="39" spans="1:9" ht="54" hidden="1" customHeight="1" outlineLevel="1">
      <c r="A39" s="29"/>
      <c r="B39" s="30"/>
      <c r="C39" s="128" t="s">
        <v>69</v>
      </c>
      <c r="D39" s="123"/>
      <c r="E39" s="123"/>
      <c r="F39" s="127"/>
      <c r="G39" s="18"/>
      <c r="H39" s="2"/>
      <c r="I39" s="3"/>
    </row>
    <row r="40" spans="1:9" ht="29.25" customHeight="1">
      <c r="A40" s="33"/>
      <c r="B40" s="34"/>
      <c r="C40" s="154" t="s">
        <v>28</v>
      </c>
      <c r="D40" s="130"/>
      <c r="E40" s="155">
        <f>E33 * (1 + F35 + F38)</f>
        <v>4099778.9959999998</v>
      </c>
      <c r="F40" s="156"/>
      <c r="G40" s="18"/>
      <c r="H40" s="2"/>
      <c r="I40" s="3"/>
    </row>
    <row r="41" spans="1:9" ht="15.75" customHeight="1">
      <c r="A41" s="1"/>
      <c r="B41" s="17"/>
      <c r="C41" s="46"/>
      <c r="D41" s="46"/>
      <c r="E41" s="46"/>
      <c r="F41" s="46"/>
      <c r="G41" s="18"/>
      <c r="H41" s="2"/>
      <c r="I41" s="3"/>
    </row>
    <row r="42" spans="1:9" ht="15.75" customHeight="1">
      <c r="A42" s="1"/>
      <c r="B42" s="17"/>
      <c r="C42" s="46"/>
      <c r="D42" s="46"/>
      <c r="E42" s="46"/>
      <c r="F42" s="46"/>
      <c r="G42" s="18"/>
      <c r="H42" s="2"/>
      <c r="I42" s="3"/>
    </row>
    <row r="43" spans="1:9" ht="36.75" customHeight="1">
      <c r="A43" s="19"/>
      <c r="B43" s="20"/>
      <c r="C43" s="157" t="s">
        <v>29</v>
      </c>
      <c r="D43" s="151"/>
      <c r="E43" s="151"/>
      <c r="F43" s="152"/>
      <c r="G43" s="18"/>
      <c r="H43" s="2"/>
      <c r="I43" s="3"/>
    </row>
    <row r="44" spans="1:9" ht="60" customHeight="1">
      <c r="A44" s="22"/>
      <c r="B44" s="23"/>
      <c r="C44" s="153" t="s">
        <v>30</v>
      </c>
      <c r="D44" s="123"/>
      <c r="E44" s="123"/>
      <c r="F44" s="127"/>
      <c r="G44" s="18"/>
      <c r="H44" s="2"/>
      <c r="I44" s="3"/>
    </row>
    <row r="45" spans="1:9" ht="18.75" customHeight="1">
      <c r="A45" s="24"/>
      <c r="B45" s="25"/>
      <c r="C45" s="147" t="s">
        <v>31</v>
      </c>
      <c r="D45" s="123"/>
      <c r="E45" s="124"/>
      <c r="F45" s="26" t="s">
        <v>7</v>
      </c>
      <c r="G45" s="18"/>
      <c r="H45" s="2"/>
      <c r="I45" s="3"/>
    </row>
    <row r="46" spans="1:9" ht="145.5" customHeight="1">
      <c r="A46" s="29"/>
      <c r="B46" s="30"/>
      <c r="C46" s="126" t="s">
        <v>70</v>
      </c>
      <c r="D46" s="123"/>
      <c r="E46" s="124"/>
      <c r="F46" s="47">
        <v>500000</v>
      </c>
      <c r="G46" s="18"/>
      <c r="H46" s="2"/>
      <c r="I46" s="3"/>
    </row>
    <row r="47" spans="1:9" ht="15.75" customHeight="1">
      <c r="A47" s="1"/>
      <c r="B47" s="17"/>
      <c r="C47" s="46"/>
      <c r="D47" s="46"/>
      <c r="E47" s="46"/>
      <c r="F47" s="46"/>
      <c r="G47" s="18"/>
      <c r="H47" s="2"/>
      <c r="I47" s="3"/>
    </row>
    <row r="48" spans="1:9" ht="15.75" customHeight="1">
      <c r="A48" s="1"/>
      <c r="B48" s="17"/>
      <c r="C48" s="46"/>
      <c r="D48" s="46"/>
      <c r="E48" s="46"/>
      <c r="F48" s="46"/>
      <c r="G48" s="18"/>
      <c r="H48" s="2"/>
      <c r="I48" s="3"/>
    </row>
    <row r="49" spans="1:9" ht="36.75" customHeight="1">
      <c r="A49" s="19"/>
      <c r="B49" s="20"/>
      <c r="C49" s="150" t="s">
        <v>71</v>
      </c>
      <c r="D49" s="151"/>
      <c r="E49" s="151"/>
      <c r="F49" s="152"/>
      <c r="G49" s="18"/>
      <c r="H49" s="2"/>
      <c r="I49" s="3"/>
    </row>
    <row r="50" spans="1:9" ht="45" customHeight="1">
      <c r="A50" s="48"/>
      <c r="B50" s="49"/>
      <c r="C50" s="153" t="s">
        <v>34</v>
      </c>
      <c r="D50" s="123"/>
      <c r="E50" s="123"/>
      <c r="F50" s="127"/>
      <c r="G50" s="18"/>
      <c r="H50" s="2"/>
      <c r="I50" s="3"/>
    </row>
    <row r="51" spans="1:9" ht="24" customHeight="1">
      <c r="A51" s="24"/>
      <c r="B51" s="25"/>
      <c r="C51" s="147" t="s">
        <v>35</v>
      </c>
      <c r="D51" s="123"/>
      <c r="E51" s="124"/>
      <c r="F51" s="26" t="s">
        <v>7</v>
      </c>
      <c r="G51" s="18"/>
      <c r="H51" s="2"/>
      <c r="I51" s="3"/>
    </row>
    <row r="52" spans="1:9" ht="78.75" customHeight="1">
      <c r="A52" s="50"/>
      <c r="B52" s="51"/>
      <c r="C52" s="145" t="s">
        <v>72</v>
      </c>
      <c r="D52" s="132"/>
      <c r="E52" s="130"/>
      <c r="F52" s="47">
        <v>5000</v>
      </c>
      <c r="G52" s="18"/>
      <c r="H52" s="2"/>
      <c r="I52" s="3"/>
    </row>
    <row r="53" spans="1:9" ht="81" hidden="1" customHeight="1" outlineLevel="1">
      <c r="A53" s="50"/>
      <c r="B53" s="51"/>
      <c r="C53" s="146" t="s">
        <v>73</v>
      </c>
      <c r="D53" s="123"/>
      <c r="E53" s="123"/>
      <c r="F53" s="127"/>
      <c r="G53" s="18"/>
      <c r="H53" s="2"/>
      <c r="I53" s="3"/>
    </row>
    <row r="54" spans="1:9" ht="54.75" customHeight="1" outlineLevel="1">
      <c r="A54" s="50"/>
      <c r="B54" s="51"/>
      <c r="C54" s="146" t="s">
        <v>74</v>
      </c>
      <c r="D54" s="123"/>
      <c r="E54" s="123"/>
      <c r="F54" s="127"/>
      <c r="G54" s="18"/>
      <c r="H54" s="2"/>
      <c r="I54" s="3"/>
    </row>
    <row r="55" spans="1:9" ht="24" customHeight="1">
      <c r="A55" s="24"/>
      <c r="B55" s="25"/>
      <c r="C55" s="147" t="s">
        <v>39</v>
      </c>
      <c r="D55" s="123"/>
      <c r="E55" s="124"/>
      <c r="F55" s="26"/>
      <c r="G55" s="18"/>
      <c r="H55" s="2"/>
      <c r="I55" s="3"/>
    </row>
    <row r="56" spans="1:9" ht="15.75" customHeight="1" collapsed="1">
      <c r="A56" s="29"/>
      <c r="B56" s="30"/>
      <c r="C56" s="126" t="s">
        <v>75</v>
      </c>
      <c r="D56" s="123"/>
      <c r="E56" s="123"/>
      <c r="F56" s="127"/>
      <c r="G56" s="18"/>
      <c r="H56" s="2"/>
      <c r="I56" s="3"/>
    </row>
    <row r="57" spans="1:9" ht="58.5" hidden="1" customHeight="1" outlineLevel="1">
      <c r="A57" s="50"/>
      <c r="B57" s="51"/>
      <c r="C57" s="128" t="s">
        <v>41</v>
      </c>
      <c r="D57" s="123"/>
      <c r="E57" s="123"/>
      <c r="F57" s="127"/>
      <c r="G57" s="18"/>
      <c r="H57" s="2"/>
      <c r="I57" s="3"/>
    </row>
    <row r="58" spans="1:9" ht="24" customHeight="1">
      <c r="A58" s="24"/>
      <c r="B58" s="25"/>
      <c r="C58" s="52" t="s">
        <v>42</v>
      </c>
      <c r="D58" s="40" t="s">
        <v>43</v>
      </c>
      <c r="E58" s="40" t="s">
        <v>44</v>
      </c>
      <c r="F58" s="26" t="s">
        <v>45</v>
      </c>
      <c r="G58" s="18"/>
      <c r="H58" s="2"/>
      <c r="I58" s="3"/>
    </row>
    <row r="59" spans="1:9" ht="24" customHeight="1">
      <c r="A59" s="24"/>
      <c r="B59" s="25"/>
      <c r="C59" s="53" t="s">
        <v>76</v>
      </c>
      <c r="D59" s="54">
        <v>1299</v>
      </c>
      <c r="E59" s="55">
        <v>20</v>
      </c>
      <c r="F59" s="56">
        <f t="shared" ref="F59:F65" si="0">D59*E59</f>
        <v>25980</v>
      </c>
      <c r="G59" s="18"/>
      <c r="H59" s="2"/>
      <c r="I59" s="3"/>
    </row>
    <row r="60" spans="1:9" ht="24" customHeight="1">
      <c r="A60" s="24"/>
      <c r="B60" s="25"/>
      <c r="C60" s="53" t="s">
        <v>77</v>
      </c>
      <c r="D60" s="54">
        <v>35</v>
      </c>
      <c r="E60" s="55">
        <v>850000</v>
      </c>
      <c r="F60" s="57">
        <f t="shared" si="0"/>
        <v>29750000</v>
      </c>
      <c r="G60" s="18"/>
      <c r="H60" s="2"/>
      <c r="I60" s="3"/>
    </row>
    <row r="61" spans="1:9" ht="24" customHeight="1">
      <c r="A61" s="24"/>
      <c r="B61" s="25"/>
      <c r="C61" s="58" t="s">
        <v>78</v>
      </c>
      <c r="D61" s="59">
        <v>700</v>
      </c>
      <c r="E61" s="60">
        <v>20</v>
      </c>
      <c r="F61" s="57">
        <f t="shared" si="0"/>
        <v>14000</v>
      </c>
      <c r="G61" s="18"/>
      <c r="H61" s="2"/>
      <c r="I61" s="3"/>
    </row>
    <row r="62" spans="1:9" ht="24" customHeight="1">
      <c r="A62" s="24"/>
      <c r="B62" s="25"/>
      <c r="C62" s="58" t="s">
        <v>79</v>
      </c>
      <c r="D62" s="59">
        <v>350000</v>
      </c>
      <c r="E62" s="60">
        <v>1</v>
      </c>
      <c r="F62" s="57">
        <f t="shared" si="0"/>
        <v>350000</v>
      </c>
      <c r="G62" s="18"/>
      <c r="H62" s="2"/>
      <c r="I62" s="3"/>
    </row>
    <row r="63" spans="1:9" ht="24" customHeight="1">
      <c r="A63" s="24"/>
      <c r="B63" s="25"/>
      <c r="C63" s="58" t="s">
        <v>80</v>
      </c>
      <c r="D63" s="59">
        <v>65000</v>
      </c>
      <c r="E63" s="60">
        <v>3</v>
      </c>
      <c r="F63" s="57">
        <f t="shared" si="0"/>
        <v>195000</v>
      </c>
      <c r="G63" s="18"/>
      <c r="H63" s="2"/>
      <c r="I63" s="3"/>
    </row>
    <row r="64" spans="1:9" ht="24" customHeight="1">
      <c r="A64" s="24"/>
      <c r="B64" s="25"/>
      <c r="C64" s="58" t="s">
        <v>81</v>
      </c>
      <c r="D64" s="59">
        <v>1500</v>
      </c>
      <c r="E64" s="60">
        <v>2</v>
      </c>
      <c r="F64" s="57">
        <f t="shared" si="0"/>
        <v>3000</v>
      </c>
      <c r="G64" s="18"/>
      <c r="H64" s="2"/>
      <c r="I64" s="3"/>
    </row>
    <row r="65" spans="1:13" ht="24" customHeight="1">
      <c r="A65" s="24"/>
      <c r="B65" s="25"/>
      <c r="C65" s="61"/>
      <c r="D65" s="62"/>
      <c r="E65" s="63"/>
      <c r="F65" s="64">
        <f t="shared" si="0"/>
        <v>0</v>
      </c>
      <c r="G65" s="18"/>
      <c r="H65" s="2"/>
      <c r="I65" s="3"/>
    </row>
    <row r="66" spans="1:13" ht="24" customHeight="1">
      <c r="A66" s="24"/>
      <c r="B66" s="25"/>
      <c r="C66" s="129" t="s">
        <v>46</v>
      </c>
      <c r="D66" s="130"/>
      <c r="E66" s="65"/>
      <c r="F66" s="66">
        <f>SUM(F59:F65)</f>
        <v>30337980</v>
      </c>
      <c r="G66" s="18"/>
      <c r="H66" s="2"/>
      <c r="I66" s="3"/>
    </row>
    <row r="67" spans="1:13" ht="63.75" customHeight="1">
      <c r="A67" s="33"/>
      <c r="B67" s="34"/>
      <c r="C67" s="131" t="s">
        <v>47</v>
      </c>
      <c r="D67" s="132"/>
      <c r="E67" s="130"/>
      <c r="F67" s="67">
        <f>F66+F52+F46+E40</f>
        <v>34942758.995999999</v>
      </c>
      <c r="G67" s="18"/>
      <c r="H67" s="2"/>
      <c r="I67" s="3"/>
    </row>
    <row r="68" spans="1:13" ht="15.75" customHeight="1">
      <c r="A68" s="1"/>
      <c r="B68" s="36"/>
      <c r="C68" s="37"/>
      <c r="D68" s="37"/>
      <c r="E68" s="37"/>
      <c r="F68" s="37"/>
      <c r="G68" s="38"/>
      <c r="H68" s="2"/>
      <c r="I68" s="3"/>
      <c r="L68" s="94"/>
    </row>
    <row r="69" spans="1:13" ht="15.75" customHeight="1">
      <c r="A69" s="1"/>
      <c r="B69" s="1"/>
      <c r="H69" s="2"/>
      <c r="I69" s="3"/>
    </row>
    <row r="70" spans="1:13" ht="15.75" customHeight="1">
      <c r="A70" s="1"/>
      <c r="B70" s="1"/>
      <c r="H70" s="2"/>
      <c r="I70" s="3"/>
    </row>
    <row r="71" spans="1:13" ht="15.75" customHeight="1">
      <c r="A71" s="1"/>
      <c r="B71" s="10"/>
      <c r="C71" s="11"/>
      <c r="D71" s="11"/>
      <c r="E71" s="11"/>
      <c r="F71" s="11"/>
      <c r="G71" s="12"/>
      <c r="H71" s="2"/>
      <c r="I71" s="3"/>
    </row>
    <row r="72" spans="1:13" ht="15.75" customHeight="1">
      <c r="A72" s="1"/>
      <c r="B72" s="17"/>
      <c r="C72" s="133" t="s">
        <v>48</v>
      </c>
      <c r="D72" s="123"/>
      <c r="E72" s="123"/>
      <c r="F72" s="124"/>
      <c r="G72" s="18"/>
      <c r="H72" s="2"/>
      <c r="I72" s="3"/>
    </row>
    <row r="73" spans="1:13" ht="15.75" customHeight="1">
      <c r="A73" s="1"/>
      <c r="B73" s="17"/>
      <c r="C73" s="134" t="s">
        <v>82</v>
      </c>
      <c r="D73" s="135"/>
      <c r="E73" s="135"/>
      <c r="F73" s="136"/>
      <c r="G73" s="18"/>
      <c r="H73" s="2"/>
      <c r="I73" s="3"/>
    </row>
    <row r="74" spans="1:13" ht="15.75" customHeight="1">
      <c r="A74" s="1"/>
      <c r="B74" s="17"/>
      <c r="C74" s="137"/>
      <c r="D74" s="138"/>
      <c r="E74" s="138"/>
      <c r="F74" s="139"/>
      <c r="G74" s="18"/>
      <c r="H74" s="2"/>
      <c r="I74" s="3"/>
    </row>
    <row r="75" spans="1:13" ht="15.75" customHeight="1">
      <c r="A75" s="1"/>
      <c r="B75" s="17"/>
      <c r="C75" s="137"/>
      <c r="D75" s="138"/>
      <c r="E75" s="138"/>
      <c r="F75" s="139"/>
      <c r="G75" s="18"/>
      <c r="H75" s="2"/>
      <c r="I75" s="3"/>
    </row>
    <row r="76" spans="1:13" ht="15.75" customHeight="1">
      <c r="A76" s="1"/>
      <c r="B76" s="17"/>
      <c r="C76" s="140"/>
      <c r="D76" s="141"/>
      <c r="E76" s="141"/>
      <c r="F76" s="142"/>
      <c r="G76" s="18"/>
      <c r="H76" s="2"/>
      <c r="I76" s="3"/>
    </row>
    <row r="77" spans="1:13" ht="36" customHeight="1">
      <c r="A77" s="13"/>
      <c r="B77" s="14"/>
      <c r="C77" s="68" t="s">
        <v>50</v>
      </c>
      <c r="D77" s="143" t="s">
        <v>51</v>
      </c>
      <c r="E77" s="144"/>
      <c r="F77" s="69" t="s">
        <v>52</v>
      </c>
      <c r="G77" s="15"/>
      <c r="H77" s="16"/>
      <c r="I77" s="3"/>
    </row>
    <row r="78" spans="1:13" ht="36" customHeight="1">
      <c r="A78" s="13"/>
      <c r="B78" s="14"/>
      <c r="C78" s="95">
        <f>F67/F22</f>
        <v>9.3472024261217346</v>
      </c>
      <c r="D78" s="148">
        <f>C78/12</f>
        <v>0.77893353551014455</v>
      </c>
      <c r="E78" s="149"/>
      <c r="F78" s="71">
        <f>D78/30.5</f>
        <v>2.5538804442955559E-2</v>
      </c>
      <c r="G78" s="15"/>
      <c r="H78" s="16"/>
      <c r="I78" s="3"/>
    </row>
    <row r="79" spans="1:13" ht="21" customHeight="1">
      <c r="A79" s="1"/>
      <c r="B79" s="17"/>
      <c r="C79" s="1"/>
      <c r="D79" s="1"/>
      <c r="E79" s="1"/>
      <c r="F79" s="1"/>
      <c r="G79" s="18"/>
      <c r="H79" s="2"/>
      <c r="I79" s="3"/>
    </row>
    <row r="80" spans="1:13" ht="31.5" customHeight="1">
      <c r="A80" s="1"/>
      <c r="B80" s="17"/>
      <c r="C80" s="122" t="s">
        <v>53</v>
      </c>
      <c r="D80" s="123"/>
      <c r="E80" s="123"/>
      <c r="F80" s="124"/>
      <c r="G80" s="18"/>
      <c r="H80" s="2"/>
      <c r="I80" s="3"/>
      <c r="M80" s="96"/>
    </row>
    <row r="81" spans="1:9" ht="15.75" customHeight="1">
      <c r="A81" s="1"/>
      <c r="B81" s="17"/>
      <c r="C81" s="125" t="s">
        <v>54</v>
      </c>
      <c r="D81" s="123"/>
      <c r="E81" s="123"/>
      <c r="F81" s="124"/>
      <c r="G81" s="18"/>
      <c r="H81" s="2"/>
      <c r="I81" s="3"/>
    </row>
    <row r="82" spans="1:9" ht="24.75" customHeight="1">
      <c r="A82" s="1"/>
      <c r="B82" s="36"/>
      <c r="C82" s="37"/>
      <c r="D82" s="37"/>
      <c r="E82" s="37"/>
      <c r="F82" s="37"/>
      <c r="G82" s="38"/>
      <c r="H82" s="2"/>
      <c r="I82" s="3"/>
    </row>
    <row r="83" spans="1:9" ht="15.75" customHeight="1">
      <c r="A83" s="1"/>
      <c r="B83" s="1"/>
      <c r="H83" s="2"/>
      <c r="I83" s="3"/>
    </row>
    <row r="84" spans="1:9" ht="15.75" customHeight="1">
      <c r="A84" s="1"/>
      <c r="B84" s="1"/>
      <c r="H84" s="2"/>
      <c r="I84" s="3"/>
    </row>
    <row r="85" spans="1:9" ht="15.75" customHeight="1">
      <c r="A85" s="1"/>
      <c r="B85" s="1"/>
      <c r="H85" s="2"/>
      <c r="I85" s="3"/>
    </row>
    <row r="86" spans="1:9" ht="15.75" customHeight="1">
      <c r="A86" s="1"/>
      <c r="B86" s="1"/>
      <c r="H86" s="2"/>
      <c r="I86" s="3"/>
    </row>
    <row r="87" spans="1:9" ht="15.75" customHeight="1">
      <c r="A87" s="1"/>
      <c r="B87" s="1"/>
      <c r="H87" s="2"/>
      <c r="I87" s="3"/>
    </row>
    <row r="88" spans="1:9" ht="15.75" customHeight="1">
      <c r="A88" s="1"/>
      <c r="B88" s="1"/>
      <c r="H88" s="2"/>
      <c r="I88" s="3"/>
    </row>
    <row r="89" spans="1:9" ht="15.75" customHeight="1">
      <c r="A89" s="1"/>
      <c r="B89" s="1"/>
      <c r="H89" s="2"/>
      <c r="I89" s="3"/>
    </row>
    <row r="90" spans="1:9" ht="15.75" customHeight="1">
      <c r="A90" s="1"/>
      <c r="B90" s="1"/>
      <c r="H90" s="2"/>
      <c r="I90" s="3"/>
    </row>
    <row r="91" spans="1:9" ht="15.75" customHeight="1">
      <c r="A91" s="1"/>
      <c r="B91" s="1"/>
      <c r="H91" s="2"/>
      <c r="I91" s="3"/>
    </row>
    <row r="92" spans="1:9" ht="15.75" customHeight="1"/>
    <row r="93" spans="1:9" ht="15.75" customHeight="1"/>
    <row r="94" spans="1:9" ht="15.75" customHeight="1"/>
    <row r="95" spans="1:9" ht="15.75" customHeight="1"/>
    <row r="96" spans="1:9"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6">
    <mergeCell ref="C9:F9"/>
    <mergeCell ref="C13:F13"/>
    <mergeCell ref="C15:F15"/>
    <mergeCell ref="C16:F16"/>
    <mergeCell ref="C17:E17"/>
    <mergeCell ref="C18:E18"/>
    <mergeCell ref="C19:E19"/>
    <mergeCell ref="C20:E20"/>
    <mergeCell ref="C21:E21"/>
    <mergeCell ref="C22:E22"/>
    <mergeCell ref="C27:F27"/>
    <mergeCell ref="C29:F29"/>
    <mergeCell ref="C30:F30"/>
    <mergeCell ref="C31:D31"/>
    <mergeCell ref="C32:D32"/>
    <mergeCell ref="C33:D33"/>
    <mergeCell ref="E33:F33"/>
    <mergeCell ref="C34:E34"/>
    <mergeCell ref="C35:E35"/>
    <mergeCell ref="C36:F36"/>
    <mergeCell ref="C37:E37"/>
    <mergeCell ref="C38:E38"/>
    <mergeCell ref="C39:F39"/>
    <mergeCell ref="C40:D40"/>
    <mergeCell ref="E40:F40"/>
    <mergeCell ref="C43:F43"/>
    <mergeCell ref="C44:F44"/>
    <mergeCell ref="C45:E45"/>
    <mergeCell ref="C46:E46"/>
    <mergeCell ref="C49:F49"/>
    <mergeCell ref="C50:F50"/>
    <mergeCell ref="C51:E51"/>
    <mergeCell ref="C52:E52"/>
    <mergeCell ref="C53:F53"/>
    <mergeCell ref="C54:F54"/>
    <mergeCell ref="D77:E77"/>
    <mergeCell ref="D78:E78"/>
    <mergeCell ref="C80:F80"/>
    <mergeCell ref="C81:F81"/>
    <mergeCell ref="C55:E55"/>
    <mergeCell ref="C56:F56"/>
    <mergeCell ref="C57:F57"/>
    <mergeCell ref="C66:D66"/>
    <mergeCell ref="C67:E67"/>
    <mergeCell ref="C72:F72"/>
    <mergeCell ref="C73:F76"/>
  </mergeCells>
  <pageMargins left="0.7" right="0.7" top="0.75" bottom="0.75" header="0" footer="0"/>
  <pageSetup orientation="portrait"/>
  <drawing r:id="rId1"/>
  <tableParts count="5">
    <tablePart r:id="rId2"/>
    <tablePart r:id="rId3"/>
    <tablePart r:id="rId4"/>
    <tablePart r:id="rId5"/>
    <tablePart r:id="rId6"/>
  </tableParts>
  <extLst>
    <ext xmlns:x14="http://schemas.microsoft.com/office/spreadsheetml/2009/9/main" uri="{CCE6A557-97BC-4b89-ADB6-D9C93CAAB3DF}">
      <x14:dataValidations xmlns:xm="http://schemas.microsoft.com/office/excel/2006/main" count="1">
        <x14:dataValidation type="list" allowBlank="1" showInputMessage="1" prompt="Feel free to customize this number." xr:uid="{00000000-0002-0000-0200-000000000000}">
          <x14:formula1>
            <xm:f>Variables!$A$2:$A$5</xm:f>
          </x14:formula1>
          <xm:sqref>F46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1"/>
  <sheetViews>
    <sheetView showGridLines="0" topLeftCell="A22" workbookViewId="0">
      <selection activeCell="F32" sqref="F32"/>
    </sheetView>
  </sheetViews>
  <sheetFormatPr baseColWidth="10" defaultColWidth="12.6640625" defaultRowHeight="15" customHeight="1" outlineLevelRow="1"/>
  <cols>
    <col min="1" max="1" width="0.6640625" customWidth="1"/>
    <col min="2" max="2" width="2" customWidth="1"/>
    <col min="3" max="3" width="32.83203125" customWidth="1"/>
    <col min="4" max="5" width="14.5" customWidth="1"/>
    <col min="6" max="6" width="29.1640625" customWidth="1"/>
    <col min="7" max="7" width="2" customWidth="1"/>
    <col min="8" max="9" width="1.33203125" customWidth="1"/>
    <col min="10" max="10" width="4" customWidth="1"/>
    <col min="11" max="13" width="14.5" customWidth="1"/>
    <col min="14" max="14" width="22.33203125" customWidth="1"/>
    <col min="15" max="27" width="14.5" customWidth="1"/>
  </cols>
  <sheetData>
    <row r="1" spans="1:14" ht="15.75" customHeight="1">
      <c r="A1" s="1"/>
      <c r="B1" s="1"/>
      <c r="H1" s="2"/>
      <c r="I1" s="3"/>
    </row>
    <row r="2" spans="1:14" ht="15.75" customHeight="1">
      <c r="A2" s="1"/>
      <c r="B2" s="1"/>
      <c r="H2" s="2"/>
      <c r="I2" s="3"/>
    </row>
    <row r="3" spans="1:14" ht="15.75" customHeight="1">
      <c r="A3" s="1"/>
      <c r="B3" s="1"/>
      <c r="H3" s="2"/>
      <c r="I3" s="3"/>
    </row>
    <row r="4" spans="1:14" ht="15.75" customHeight="1">
      <c r="A4" s="1"/>
      <c r="C4" s="4" t="s">
        <v>0</v>
      </c>
      <c r="D4" s="4"/>
      <c r="E4" s="4"/>
      <c r="F4" s="4"/>
      <c r="G4" s="4"/>
      <c r="H4" s="2"/>
      <c r="I4" s="3"/>
    </row>
    <row r="5" spans="1:14" ht="15.75" customHeight="1">
      <c r="A5" s="1"/>
      <c r="B5" s="4"/>
      <c r="C5" s="5" t="s">
        <v>1</v>
      </c>
      <c r="D5" s="4"/>
      <c r="E5" s="4"/>
      <c r="F5" s="4"/>
      <c r="G5" s="4"/>
      <c r="H5" s="2"/>
      <c r="I5" s="3"/>
    </row>
    <row r="6" spans="1:14" ht="15.75" customHeight="1">
      <c r="A6" s="1"/>
      <c r="C6" s="5"/>
      <c r="D6" s="5"/>
      <c r="E6" s="5"/>
      <c r="F6" s="5"/>
      <c r="G6" s="5"/>
      <c r="H6" s="2"/>
      <c r="I6" s="3"/>
    </row>
    <row r="7" spans="1:14" ht="15.75" customHeight="1">
      <c r="A7" s="1"/>
      <c r="B7" s="1"/>
      <c r="H7" s="2"/>
      <c r="I7" s="3"/>
    </row>
    <row r="8" spans="1:14" ht="15.75" customHeight="1">
      <c r="A8" s="1"/>
      <c r="B8" s="1"/>
      <c r="C8" s="6"/>
      <c r="D8" s="6"/>
      <c r="E8" s="6"/>
      <c r="F8" s="6"/>
      <c r="H8" s="2"/>
      <c r="I8" s="3"/>
    </row>
    <row r="9" spans="1:14" ht="78.75" customHeight="1">
      <c r="A9" s="7"/>
      <c r="B9" s="8"/>
      <c r="C9" s="164" t="s">
        <v>2</v>
      </c>
      <c r="D9" s="123"/>
      <c r="E9" s="123"/>
      <c r="F9" s="124"/>
      <c r="G9" s="9"/>
      <c r="H9" s="2"/>
      <c r="I9" s="3"/>
    </row>
    <row r="10" spans="1:14" ht="15.75" customHeight="1">
      <c r="A10" s="1"/>
      <c r="B10" s="1"/>
      <c r="H10" s="2"/>
      <c r="I10" s="3"/>
    </row>
    <row r="11" spans="1:14" ht="15.75" customHeight="1">
      <c r="A11" s="1"/>
      <c r="B11" s="1"/>
      <c r="H11" s="2"/>
      <c r="I11" s="3"/>
    </row>
    <row r="12" spans="1:14" ht="15.75" customHeight="1">
      <c r="A12" s="1"/>
      <c r="B12" s="10"/>
      <c r="C12" s="11"/>
      <c r="D12" s="11"/>
      <c r="E12" s="11"/>
      <c r="F12" s="11"/>
      <c r="G12" s="12"/>
      <c r="H12" s="2"/>
      <c r="I12" s="3"/>
    </row>
    <row r="13" spans="1:14" ht="36" customHeight="1">
      <c r="A13" s="13"/>
      <c r="B13" s="14"/>
      <c r="C13" s="165" t="s">
        <v>3</v>
      </c>
      <c r="D13" s="123"/>
      <c r="E13" s="123"/>
      <c r="F13" s="124"/>
      <c r="G13" s="15"/>
      <c r="H13" s="16"/>
      <c r="I13" s="3"/>
    </row>
    <row r="14" spans="1:14" ht="15.75" customHeight="1">
      <c r="A14" s="1"/>
      <c r="B14" s="17"/>
      <c r="C14" s="1"/>
      <c r="D14" s="1"/>
      <c r="E14" s="1"/>
      <c r="F14" s="1"/>
      <c r="G14" s="18"/>
      <c r="H14" s="2"/>
      <c r="I14" s="3"/>
    </row>
    <row r="15" spans="1:14" ht="36.75" customHeight="1">
      <c r="A15" s="19"/>
      <c r="B15" s="20"/>
      <c r="C15" s="157" t="s">
        <v>4</v>
      </c>
      <c r="D15" s="151"/>
      <c r="E15" s="151"/>
      <c r="F15" s="152"/>
      <c r="G15" s="21"/>
      <c r="H15" s="2"/>
      <c r="I15" s="3"/>
    </row>
    <row r="16" spans="1:14" ht="60" customHeight="1">
      <c r="A16" s="22"/>
      <c r="B16" s="23"/>
      <c r="C16" s="153" t="s">
        <v>5</v>
      </c>
      <c r="D16" s="123"/>
      <c r="E16" s="123"/>
      <c r="F16" s="127"/>
      <c r="G16" s="18"/>
      <c r="H16" s="2"/>
      <c r="I16" s="3"/>
      <c r="J16" s="72"/>
      <c r="K16" s="85">
        <v>5769</v>
      </c>
      <c r="L16" s="73" t="s">
        <v>83</v>
      </c>
      <c r="M16" s="83"/>
      <c r="N16" s="83"/>
    </row>
    <row r="17" spans="1:14" ht="24" customHeight="1">
      <c r="A17" s="24"/>
      <c r="B17" s="25"/>
      <c r="C17" s="147" t="s">
        <v>6</v>
      </c>
      <c r="D17" s="123"/>
      <c r="E17" s="124"/>
      <c r="F17" s="26" t="s">
        <v>7</v>
      </c>
      <c r="G17" s="27"/>
      <c r="H17" s="28"/>
      <c r="I17" s="3"/>
      <c r="J17" s="86"/>
      <c r="K17" s="97">
        <v>0.05</v>
      </c>
      <c r="L17" s="83" t="s">
        <v>84</v>
      </c>
      <c r="M17" s="83"/>
      <c r="N17" s="83"/>
    </row>
    <row r="18" spans="1:14" ht="54" customHeight="1">
      <c r="A18" s="29"/>
      <c r="B18" s="30"/>
      <c r="C18" s="159" t="s">
        <v>63</v>
      </c>
      <c r="D18" s="132"/>
      <c r="E18" s="130"/>
      <c r="F18" s="31">
        <f>K16*(1+K17)*K18</f>
        <v>90.861750000000001</v>
      </c>
      <c r="G18" s="18"/>
      <c r="H18" s="2"/>
      <c r="I18" s="3"/>
      <c r="K18" s="87">
        <v>1.4999999999999999E-2</v>
      </c>
      <c r="L18" s="73" t="s">
        <v>62</v>
      </c>
      <c r="M18" s="83"/>
      <c r="N18" s="83"/>
    </row>
    <row r="19" spans="1:14" ht="24" customHeight="1">
      <c r="A19" s="24"/>
      <c r="B19" s="25"/>
      <c r="C19" s="147" t="s">
        <v>9</v>
      </c>
      <c r="D19" s="123"/>
      <c r="E19" s="124"/>
      <c r="F19" s="26" t="s">
        <v>10</v>
      </c>
      <c r="G19" s="27"/>
      <c r="H19" s="28"/>
      <c r="I19" s="3"/>
      <c r="J19" s="88"/>
      <c r="K19" s="89"/>
      <c r="L19" s="90"/>
      <c r="M19" s="83"/>
      <c r="N19" s="83"/>
    </row>
    <row r="20" spans="1:14" ht="57" customHeight="1">
      <c r="A20" s="29"/>
      <c r="B20" s="30"/>
      <c r="C20" s="161" t="s">
        <v>11</v>
      </c>
      <c r="D20" s="123"/>
      <c r="E20" s="124"/>
      <c r="F20" s="31">
        <v>12</v>
      </c>
      <c r="G20" s="18"/>
      <c r="H20" s="32"/>
      <c r="I20" s="3"/>
      <c r="J20" s="91"/>
      <c r="M20" s="83"/>
      <c r="N20" s="83"/>
    </row>
    <row r="21" spans="1:14" ht="57" customHeight="1">
      <c r="A21" s="29"/>
      <c r="B21" s="30"/>
      <c r="C21" s="161" t="s">
        <v>65</v>
      </c>
      <c r="D21" s="123"/>
      <c r="E21" s="124"/>
      <c r="F21" s="31">
        <f>'Year 1'!F21*(1+K21)</f>
        <v>6300</v>
      </c>
      <c r="G21" s="18"/>
      <c r="H21" s="32"/>
      <c r="I21" s="3"/>
      <c r="J21" s="91"/>
      <c r="K21" s="98">
        <v>0.75</v>
      </c>
      <c r="L21" s="72" t="s">
        <v>85</v>
      </c>
    </row>
    <row r="22" spans="1:14" ht="39.75" customHeight="1">
      <c r="A22" s="33"/>
      <c r="B22" s="34"/>
      <c r="C22" s="162" t="s">
        <v>12</v>
      </c>
      <c r="D22" s="132"/>
      <c r="E22" s="130"/>
      <c r="F22" s="35">
        <f>F18*F20*F21</f>
        <v>6869148.2999999989</v>
      </c>
      <c r="G22" s="18"/>
      <c r="H22" s="2"/>
      <c r="I22" s="3"/>
      <c r="J22" s="91"/>
      <c r="K22" s="91"/>
      <c r="L22" s="72"/>
    </row>
    <row r="23" spans="1:14" ht="15.75" customHeight="1">
      <c r="A23" s="1"/>
      <c r="B23" s="36"/>
      <c r="C23" s="37"/>
      <c r="D23" s="37"/>
      <c r="E23" s="37"/>
      <c r="F23" s="37"/>
      <c r="G23" s="38"/>
      <c r="H23" s="2"/>
      <c r="I23" s="3"/>
      <c r="J23" s="92"/>
      <c r="K23" s="92"/>
      <c r="L23" s="72"/>
    </row>
    <row r="24" spans="1:14" ht="15.75" customHeight="1">
      <c r="A24" s="1"/>
      <c r="B24" s="1"/>
      <c r="H24" s="2"/>
      <c r="I24" s="3"/>
      <c r="J24" s="91"/>
      <c r="K24" s="91"/>
      <c r="L24" s="91"/>
    </row>
    <row r="25" spans="1:14" ht="15.75" customHeight="1">
      <c r="A25" s="1"/>
      <c r="B25" s="1"/>
      <c r="H25" s="2"/>
      <c r="I25" s="3"/>
      <c r="J25" s="93"/>
      <c r="K25" s="93"/>
      <c r="L25" s="86"/>
      <c r="M25" s="93"/>
    </row>
    <row r="26" spans="1:14" ht="15.75" customHeight="1">
      <c r="A26" s="1"/>
      <c r="B26" s="10"/>
      <c r="C26" s="11"/>
      <c r="D26" s="11"/>
      <c r="E26" s="11"/>
      <c r="F26" s="11"/>
      <c r="G26" s="12"/>
      <c r="H26" s="2"/>
      <c r="I26" s="3"/>
    </row>
    <row r="27" spans="1:14" ht="15.75" customHeight="1">
      <c r="A27" s="1"/>
      <c r="B27" s="17"/>
      <c r="C27" s="163" t="s">
        <v>13</v>
      </c>
      <c r="D27" s="123"/>
      <c r="E27" s="123"/>
      <c r="F27" s="124"/>
      <c r="G27" s="18"/>
      <c r="H27" s="2"/>
      <c r="I27" s="3"/>
    </row>
    <row r="28" spans="1:14" ht="15.75" customHeight="1">
      <c r="A28" s="1"/>
      <c r="B28" s="17"/>
      <c r="C28" s="1"/>
      <c r="D28" s="1"/>
      <c r="E28" s="1"/>
      <c r="F28" s="1"/>
      <c r="G28" s="18"/>
      <c r="H28" s="2"/>
      <c r="I28" s="3"/>
    </row>
    <row r="29" spans="1:14" ht="35.25" customHeight="1">
      <c r="A29" s="19"/>
      <c r="B29" s="20"/>
      <c r="C29" s="157" t="s">
        <v>14</v>
      </c>
      <c r="D29" s="151"/>
      <c r="E29" s="151"/>
      <c r="F29" s="152"/>
      <c r="G29" s="18"/>
      <c r="H29" s="2"/>
      <c r="I29" s="3"/>
    </row>
    <row r="30" spans="1:14" ht="45" customHeight="1">
      <c r="A30" s="22"/>
      <c r="B30" s="23"/>
      <c r="C30" s="153" t="s">
        <v>15</v>
      </c>
      <c r="D30" s="123"/>
      <c r="E30" s="123"/>
      <c r="F30" s="127"/>
      <c r="G30" s="18"/>
      <c r="H30" s="39"/>
      <c r="I30" s="3"/>
    </row>
    <row r="31" spans="1:14" ht="24" customHeight="1">
      <c r="A31" s="22"/>
      <c r="B31" s="23"/>
      <c r="C31" s="147" t="s">
        <v>16</v>
      </c>
      <c r="D31" s="124"/>
      <c r="E31" s="40" t="s">
        <v>17</v>
      </c>
      <c r="F31" s="26" t="s">
        <v>18</v>
      </c>
      <c r="G31" s="18"/>
      <c r="H31" s="39"/>
      <c r="I31" s="3"/>
    </row>
    <row r="32" spans="1:14" ht="72" customHeight="1">
      <c r="A32" s="22"/>
      <c r="B32" s="23"/>
      <c r="C32" s="159" t="s">
        <v>19</v>
      </c>
      <c r="D32" s="130"/>
      <c r="E32" s="41">
        <f>125506*1.1</f>
        <v>138056.6</v>
      </c>
      <c r="F32" s="42">
        <v>23</v>
      </c>
      <c r="G32" s="18"/>
      <c r="H32" s="39"/>
      <c r="I32" s="3"/>
      <c r="K32" s="75" t="s">
        <v>86</v>
      </c>
    </row>
    <row r="33" spans="1:9" ht="15.75" customHeight="1">
      <c r="A33" s="43"/>
      <c r="B33" s="44"/>
      <c r="C33" s="129" t="s">
        <v>20</v>
      </c>
      <c r="D33" s="130"/>
      <c r="E33" s="160">
        <f>SUMPRODUCT(E32, F32)</f>
        <v>3175301.8000000003</v>
      </c>
      <c r="F33" s="156"/>
      <c r="G33" s="18"/>
      <c r="H33" s="2"/>
      <c r="I33" s="3"/>
    </row>
    <row r="34" spans="1:9" ht="24" customHeight="1">
      <c r="A34" s="24"/>
      <c r="B34" s="25"/>
      <c r="C34" s="147" t="s">
        <v>21</v>
      </c>
      <c r="D34" s="123"/>
      <c r="E34" s="124"/>
      <c r="F34" s="26" t="s">
        <v>22</v>
      </c>
      <c r="G34" s="27"/>
      <c r="H34" s="28"/>
      <c r="I34" s="3"/>
    </row>
    <row r="35" spans="1:9" ht="30" customHeight="1">
      <c r="A35" s="29"/>
      <c r="B35" s="30"/>
      <c r="C35" s="158" t="s">
        <v>87</v>
      </c>
      <c r="D35" s="132"/>
      <c r="E35" s="130"/>
      <c r="F35" s="45">
        <v>0.33329999999999999</v>
      </c>
      <c r="G35" s="18"/>
      <c r="H35" s="2"/>
      <c r="I35" s="3"/>
    </row>
    <row r="36" spans="1:9" ht="15.75" customHeight="1" outlineLevel="1">
      <c r="A36" s="29"/>
      <c r="B36" s="30"/>
      <c r="C36" s="128" t="s">
        <v>88</v>
      </c>
      <c r="D36" s="123"/>
      <c r="E36" s="123"/>
      <c r="F36" s="127"/>
      <c r="G36" s="18"/>
      <c r="H36" s="2"/>
      <c r="I36" s="3"/>
    </row>
    <row r="37" spans="1:9" ht="15.75" customHeight="1">
      <c r="A37" s="24"/>
      <c r="B37" s="25"/>
      <c r="C37" s="147" t="s">
        <v>25</v>
      </c>
      <c r="D37" s="123"/>
      <c r="E37" s="124"/>
      <c r="F37" s="26" t="s">
        <v>22</v>
      </c>
      <c r="G37" s="27"/>
      <c r="H37" s="28"/>
      <c r="I37" s="3"/>
    </row>
    <row r="38" spans="1:9" ht="46.5" customHeight="1" collapsed="1">
      <c r="A38" s="29"/>
      <c r="B38" s="30"/>
      <c r="C38" s="126" t="s">
        <v>89</v>
      </c>
      <c r="D38" s="123"/>
      <c r="E38" s="124"/>
      <c r="F38" s="45">
        <v>0.3</v>
      </c>
      <c r="G38" s="18"/>
      <c r="H38" s="2"/>
      <c r="I38" s="3"/>
    </row>
    <row r="39" spans="1:9" ht="54" hidden="1" customHeight="1" outlineLevel="1">
      <c r="A39" s="29"/>
      <c r="B39" s="30"/>
      <c r="C39" s="128" t="s">
        <v>90</v>
      </c>
      <c r="D39" s="123"/>
      <c r="E39" s="123"/>
      <c r="F39" s="127"/>
      <c r="G39" s="18"/>
      <c r="H39" s="2"/>
      <c r="I39" s="3"/>
    </row>
    <row r="40" spans="1:9" ht="29.25" customHeight="1">
      <c r="A40" s="33"/>
      <c r="B40" s="34"/>
      <c r="C40" s="154" t="s">
        <v>28</v>
      </c>
      <c r="D40" s="130"/>
      <c r="E40" s="155">
        <f>E33 * (1 + F35 + F38)</f>
        <v>5186220.4299400002</v>
      </c>
      <c r="F40" s="156"/>
      <c r="G40" s="18"/>
      <c r="H40" s="2"/>
      <c r="I40" s="3"/>
    </row>
    <row r="41" spans="1:9" ht="15.75" customHeight="1">
      <c r="A41" s="1"/>
      <c r="B41" s="17"/>
      <c r="C41" s="46"/>
      <c r="D41" s="46"/>
      <c r="E41" s="46"/>
      <c r="F41" s="46"/>
      <c r="G41" s="18"/>
      <c r="H41" s="2"/>
      <c r="I41" s="3"/>
    </row>
    <row r="42" spans="1:9" ht="15.75" customHeight="1">
      <c r="A42" s="1"/>
      <c r="B42" s="17"/>
      <c r="C42" s="46"/>
      <c r="D42" s="46"/>
      <c r="E42" s="46"/>
      <c r="F42" s="46"/>
      <c r="G42" s="18"/>
      <c r="H42" s="2"/>
      <c r="I42" s="3"/>
    </row>
    <row r="43" spans="1:9" ht="36.75" customHeight="1">
      <c r="A43" s="19"/>
      <c r="B43" s="20"/>
      <c r="C43" s="157" t="s">
        <v>29</v>
      </c>
      <c r="D43" s="151"/>
      <c r="E43" s="151"/>
      <c r="F43" s="152"/>
      <c r="G43" s="18"/>
      <c r="H43" s="2"/>
      <c r="I43" s="3"/>
    </row>
    <row r="44" spans="1:9" ht="60" customHeight="1">
      <c r="A44" s="22"/>
      <c r="B44" s="23"/>
      <c r="C44" s="153" t="s">
        <v>30</v>
      </c>
      <c r="D44" s="123"/>
      <c r="E44" s="123"/>
      <c r="F44" s="127"/>
      <c r="G44" s="18"/>
      <c r="H44" s="2"/>
      <c r="I44" s="3"/>
    </row>
    <row r="45" spans="1:9" ht="18.75" customHeight="1">
      <c r="A45" s="24"/>
      <c r="B45" s="25"/>
      <c r="C45" s="147" t="s">
        <v>31</v>
      </c>
      <c r="D45" s="123"/>
      <c r="E45" s="124"/>
      <c r="F45" s="26" t="s">
        <v>7</v>
      </c>
      <c r="G45" s="18"/>
      <c r="H45" s="2"/>
      <c r="I45" s="3"/>
    </row>
    <row r="46" spans="1:9" ht="145.5" customHeight="1">
      <c r="A46" s="29"/>
      <c r="B46" s="30"/>
      <c r="C46" s="126" t="s">
        <v>91</v>
      </c>
      <c r="D46" s="123"/>
      <c r="E46" s="124"/>
      <c r="F46" s="47">
        <v>500000</v>
      </c>
      <c r="G46" s="18"/>
      <c r="H46" s="2"/>
      <c r="I46" s="3"/>
    </row>
    <row r="47" spans="1:9" ht="15.75" customHeight="1">
      <c r="A47" s="1"/>
      <c r="B47" s="17"/>
      <c r="C47" s="46"/>
      <c r="D47" s="46"/>
      <c r="E47" s="46"/>
      <c r="F47" s="46"/>
      <c r="G47" s="18"/>
      <c r="H47" s="2"/>
      <c r="I47" s="3"/>
    </row>
    <row r="48" spans="1:9" ht="15.75" customHeight="1">
      <c r="A48" s="1"/>
      <c r="B48" s="17"/>
      <c r="C48" s="46"/>
      <c r="D48" s="46"/>
      <c r="E48" s="46"/>
      <c r="F48" s="46"/>
      <c r="G48" s="18"/>
      <c r="H48" s="2"/>
      <c r="I48" s="3"/>
    </row>
    <row r="49" spans="1:9" ht="36.75" customHeight="1">
      <c r="A49" s="19"/>
      <c r="B49" s="20"/>
      <c r="C49" s="150" t="s">
        <v>92</v>
      </c>
      <c r="D49" s="151"/>
      <c r="E49" s="151"/>
      <c r="F49" s="152"/>
      <c r="G49" s="18"/>
      <c r="H49" s="2"/>
      <c r="I49" s="3"/>
    </row>
    <row r="50" spans="1:9" ht="45" customHeight="1">
      <c r="A50" s="48"/>
      <c r="B50" s="49"/>
      <c r="C50" s="153" t="s">
        <v>34</v>
      </c>
      <c r="D50" s="123"/>
      <c r="E50" s="123"/>
      <c r="F50" s="127"/>
      <c r="G50" s="18"/>
      <c r="H50" s="2"/>
      <c r="I50" s="3"/>
    </row>
    <row r="51" spans="1:9" ht="24" customHeight="1">
      <c r="A51" s="24"/>
      <c r="B51" s="25"/>
      <c r="C51" s="147" t="s">
        <v>35</v>
      </c>
      <c r="D51" s="123"/>
      <c r="E51" s="124"/>
      <c r="F51" s="26" t="s">
        <v>7</v>
      </c>
      <c r="G51" s="18"/>
      <c r="H51" s="2"/>
      <c r="I51" s="3"/>
    </row>
    <row r="52" spans="1:9" ht="78.75" customHeight="1">
      <c r="A52" s="50"/>
      <c r="B52" s="51"/>
      <c r="C52" s="145" t="s">
        <v>93</v>
      </c>
      <c r="D52" s="132"/>
      <c r="E52" s="130"/>
      <c r="F52" s="47">
        <v>5000</v>
      </c>
      <c r="G52" s="18"/>
      <c r="H52" s="2"/>
      <c r="I52" s="3"/>
    </row>
    <row r="53" spans="1:9" ht="81" hidden="1" customHeight="1" outlineLevel="1">
      <c r="A53" s="50"/>
      <c r="B53" s="51"/>
      <c r="C53" s="146" t="s">
        <v>94</v>
      </c>
      <c r="D53" s="123"/>
      <c r="E53" s="123"/>
      <c r="F53" s="127"/>
      <c r="G53" s="18"/>
      <c r="H53" s="2"/>
      <c r="I53" s="3"/>
    </row>
    <row r="54" spans="1:9" ht="54.75" customHeight="1" outlineLevel="1">
      <c r="A54" s="50"/>
      <c r="B54" s="51"/>
      <c r="C54" s="146" t="s">
        <v>95</v>
      </c>
      <c r="D54" s="123"/>
      <c r="E54" s="123"/>
      <c r="F54" s="127"/>
      <c r="G54" s="18"/>
      <c r="H54" s="2"/>
      <c r="I54" s="3"/>
    </row>
    <row r="55" spans="1:9" ht="24" customHeight="1">
      <c r="A55" s="24"/>
      <c r="B55" s="25"/>
      <c r="C55" s="147" t="s">
        <v>39</v>
      </c>
      <c r="D55" s="123"/>
      <c r="E55" s="124"/>
      <c r="F55" s="26"/>
      <c r="G55" s="18"/>
      <c r="H55" s="2"/>
      <c r="I55" s="3"/>
    </row>
    <row r="56" spans="1:9" ht="15.75" customHeight="1" collapsed="1">
      <c r="A56" s="29"/>
      <c r="B56" s="30"/>
      <c r="C56" s="126" t="s">
        <v>96</v>
      </c>
      <c r="D56" s="123"/>
      <c r="E56" s="123"/>
      <c r="F56" s="127"/>
      <c r="G56" s="18"/>
      <c r="H56" s="2"/>
      <c r="I56" s="3"/>
    </row>
    <row r="57" spans="1:9" ht="58.5" hidden="1" customHeight="1" outlineLevel="1">
      <c r="A57" s="50"/>
      <c r="B57" s="51"/>
      <c r="C57" s="128" t="s">
        <v>41</v>
      </c>
      <c r="D57" s="123"/>
      <c r="E57" s="123"/>
      <c r="F57" s="127"/>
      <c r="G57" s="18"/>
      <c r="H57" s="2"/>
      <c r="I57" s="3"/>
    </row>
    <row r="58" spans="1:9" ht="24" customHeight="1">
      <c r="A58" s="24"/>
      <c r="B58" s="25"/>
      <c r="C58" s="52" t="s">
        <v>42</v>
      </c>
      <c r="D58" s="40" t="s">
        <v>43</v>
      </c>
      <c r="E58" s="40" t="s">
        <v>44</v>
      </c>
      <c r="F58" s="26" t="s">
        <v>45</v>
      </c>
      <c r="G58" s="18"/>
      <c r="H58" s="2"/>
      <c r="I58" s="3"/>
    </row>
    <row r="59" spans="1:9" ht="24" customHeight="1">
      <c r="A59" s="24"/>
      <c r="B59" s="25"/>
      <c r="C59" s="53" t="s">
        <v>97</v>
      </c>
      <c r="D59" s="54">
        <v>1299</v>
      </c>
      <c r="E59" s="55">
        <v>3</v>
      </c>
      <c r="F59" s="56">
        <f t="shared" ref="F59:F65" si="0">D59*E59</f>
        <v>3897</v>
      </c>
      <c r="G59" s="18"/>
      <c r="H59" s="2"/>
      <c r="I59" s="3"/>
    </row>
    <row r="60" spans="1:9" ht="24" customHeight="1">
      <c r="A60" s="24"/>
      <c r="B60" s="25"/>
      <c r="C60" s="53" t="s">
        <v>77</v>
      </c>
      <c r="D60" s="54">
        <v>33</v>
      </c>
      <c r="E60" s="55">
        <v>850000</v>
      </c>
      <c r="F60" s="57">
        <f t="shared" si="0"/>
        <v>28050000</v>
      </c>
      <c r="G60" s="18"/>
      <c r="H60" s="2"/>
      <c r="I60" s="3"/>
    </row>
    <row r="61" spans="1:9" ht="24" customHeight="1">
      <c r="A61" s="24"/>
      <c r="B61" s="25"/>
      <c r="C61" s="58" t="s">
        <v>78</v>
      </c>
      <c r="D61" s="59">
        <v>700</v>
      </c>
      <c r="E61" s="60">
        <v>3</v>
      </c>
      <c r="F61" s="57">
        <f t="shared" si="0"/>
        <v>2100</v>
      </c>
      <c r="G61" s="18"/>
      <c r="H61" s="2"/>
      <c r="I61" s="3"/>
    </row>
    <row r="62" spans="1:9" ht="24" customHeight="1">
      <c r="A62" s="24"/>
      <c r="B62" s="25"/>
      <c r="C62" s="58" t="s">
        <v>81</v>
      </c>
      <c r="D62" s="59">
        <v>1500</v>
      </c>
      <c r="E62" s="60">
        <v>3</v>
      </c>
      <c r="F62" s="57">
        <f t="shared" si="0"/>
        <v>4500</v>
      </c>
      <c r="G62" s="18"/>
      <c r="H62" s="2"/>
      <c r="I62" s="3"/>
    </row>
    <row r="63" spans="1:9" ht="24" customHeight="1">
      <c r="A63" s="24"/>
      <c r="B63" s="25"/>
      <c r="C63" s="58" t="s">
        <v>80</v>
      </c>
      <c r="D63" s="59">
        <v>65000</v>
      </c>
      <c r="E63" s="60">
        <v>5</v>
      </c>
      <c r="F63" s="57">
        <f t="shared" si="0"/>
        <v>325000</v>
      </c>
      <c r="G63" s="18"/>
      <c r="H63" s="2"/>
      <c r="I63" s="3"/>
    </row>
    <row r="64" spans="1:9" ht="24" customHeight="1">
      <c r="A64" s="24"/>
      <c r="B64" s="25"/>
      <c r="C64" s="58" t="s">
        <v>98</v>
      </c>
      <c r="D64" s="59">
        <f>0.3*F22</f>
        <v>2060744.4899999995</v>
      </c>
      <c r="E64" s="60">
        <v>1</v>
      </c>
      <c r="F64" s="57">
        <f t="shared" si="0"/>
        <v>2060744.4899999995</v>
      </c>
      <c r="G64" s="18"/>
      <c r="H64" s="2"/>
      <c r="I64" s="3"/>
    </row>
    <row r="65" spans="1:13" ht="24" customHeight="1">
      <c r="A65" s="24"/>
      <c r="B65" s="25"/>
      <c r="C65" s="61"/>
      <c r="D65" s="62"/>
      <c r="E65" s="63"/>
      <c r="F65" s="64">
        <f t="shared" si="0"/>
        <v>0</v>
      </c>
      <c r="G65" s="18"/>
      <c r="H65" s="2"/>
      <c r="I65" s="3"/>
    </row>
    <row r="66" spans="1:13" ht="24" customHeight="1">
      <c r="A66" s="24"/>
      <c r="B66" s="25"/>
      <c r="C66" s="129" t="s">
        <v>46</v>
      </c>
      <c r="D66" s="130"/>
      <c r="E66" s="65"/>
      <c r="F66" s="66">
        <f>SUM(F59:F65)</f>
        <v>30446241.489999998</v>
      </c>
      <c r="G66" s="18"/>
      <c r="H66" s="2"/>
      <c r="I66" s="3"/>
    </row>
    <row r="67" spans="1:13" ht="63.75" customHeight="1">
      <c r="A67" s="33"/>
      <c r="B67" s="34"/>
      <c r="C67" s="131" t="s">
        <v>47</v>
      </c>
      <c r="D67" s="132"/>
      <c r="E67" s="130"/>
      <c r="F67" s="67">
        <f>F66+F52+F46+E40</f>
        <v>36137461.919939995</v>
      </c>
      <c r="G67" s="18"/>
      <c r="H67" s="2"/>
      <c r="I67" s="3"/>
    </row>
    <row r="68" spans="1:13" ht="15.75" customHeight="1">
      <c r="A68" s="1"/>
      <c r="B68" s="36"/>
      <c r="C68" s="37"/>
      <c r="D68" s="37"/>
      <c r="E68" s="37"/>
      <c r="F68" s="37"/>
      <c r="G68" s="38"/>
      <c r="H68" s="2"/>
      <c r="I68" s="3"/>
      <c r="L68" s="94"/>
    </row>
    <row r="69" spans="1:13" ht="15.75" customHeight="1">
      <c r="A69" s="1"/>
      <c r="B69" s="1"/>
      <c r="H69" s="2"/>
      <c r="I69" s="3"/>
    </row>
    <row r="70" spans="1:13" ht="15.75" customHeight="1">
      <c r="A70" s="1"/>
      <c r="B70" s="1"/>
      <c r="H70" s="2"/>
      <c r="I70" s="3"/>
    </row>
    <row r="71" spans="1:13" ht="15.75" customHeight="1">
      <c r="A71" s="1"/>
      <c r="B71" s="10"/>
      <c r="C71" s="11"/>
      <c r="D71" s="11"/>
      <c r="E71" s="11"/>
      <c r="F71" s="11"/>
      <c r="G71" s="12"/>
      <c r="H71" s="2"/>
      <c r="I71" s="3"/>
    </row>
    <row r="72" spans="1:13" ht="15.75" customHeight="1">
      <c r="A72" s="1"/>
      <c r="B72" s="17"/>
      <c r="C72" s="133" t="s">
        <v>48</v>
      </c>
      <c r="D72" s="123"/>
      <c r="E72" s="123"/>
      <c r="F72" s="124"/>
      <c r="G72" s="18"/>
      <c r="H72" s="2"/>
      <c r="I72" s="3"/>
    </row>
    <row r="73" spans="1:13" ht="15.75" customHeight="1">
      <c r="A73" s="1"/>
      <c r="B73" s="17"/>
      <c r="C73" s="134" t="s">
        <v>99</v>
      </c>
      <c r="D73" s="135"/>
      <c r="E73" s="135"/>
      <c r="F73" s="136"/>
      <c r="G73" s="18"/>
      <c r="H73" s="2"/>
      <c r="I73" s="3"/>
    </row>
    <row r="74" spans="1:13" ht="15.75" customHeight="1">
      <c r="A74" s="1"/>
      <c r="B74" s="17"/>
      <c r="C74" s="137"/>
      <c r="D74" s="138"/>
      <c r="E74" s="138"/>
      <c r="F74" s="139"/>
      <c r="G74" s="18"/>
      <c r="H74" s="2"/>
      <c r="I74" s="3"/>
    </row>
    <row r="75" spans="1:13" ht="15.75" customHeight="1">
      <c r="A75" s="1"/>
      <c r="B75" s="17"/>
      <c r="C75" s="137"/>
      <c r="D75" s="138"/>
      <c r="E75" s="138"/>
      <c r="F75" s="139"/>
      <c r="G75" s="18"/>
      <c r="H75" s="2"/>
      <c r="I75" s="3"/>
    </row>
    <row r="76" spans="1:13" ht="15.75" customHeight="1">
      <c r="A76" s="1"/>
      <c r="B76" s="17"/>
      <c r="C76" s="140"/>
      <c r="D76" s="141"/>
      <c r="E76" s="141"/>
      <c r="F76" s="142"/>
      <c r="G76" s="18"/>
      <c r="H76" s="2"/>
      <c r="I76" s="3"/>
    </row>
    <row r="77" spans="1:13" ht="36" customHeight="1">
      <c r="A77" s="13"/>
      <c r="B77" s="14"/>
      <c r="C77" s="68" t="s">
        <v>50</v>
      </c>
      <c r="D77" s="143" t="s">
        <v>51</v>
      </c>
      <c r="E77" s="144"/>
      <c r="F77" s="69" t="s">
        <v>52</v>
      </c>
      <c r="G77" s="15"/>
      <c r="H77" s="16"/>
      <c r="I77" s="3"/>
    </row>
    <row r="78" spans="1:13" ht="36" customHeight="1">
      <c r="A78" s="13"/>
      <c r="B78" s="14"/>
      <c r="C78" s="95">
        <f>F67/F22</f>
        <v>5.2608358913928237</v>
      </c>
      <c r="D78" s="148">
        <f>C78/12</f>
        <v>0.43840299094940199</v>
      </c>
      <c r="E78" s="149"/>
      <c r="F78" s="71">
        <f>D78/30.5</f>
        <v>1.4373868555718098E-2</v>
      </c>
      <c r="G78" s="15"/>
      <c r="H78" s="16"/>
      <c r="I78" s="3"/>
    </row>
    <row r="79" spans="1:13" ht="21" customHeight="1">
      <c r="A79" s="1"/>
      <c r="B79" s="17"/>
      <c r="C79" s="1"/>
      <c r="D79" s="1"/>
      <c r="E79" s="1"/>
      <c r="F79" s="1"/>
      <c r="G79" s="18"/>
      <c r="H79" s="2"/>
      <c r="I79" s="3"/>
    </row>
    <row r="80" spans="1:13" ht="31.5" customHeight="1">
      <c r="A80" s="1"/>
      <c r="B80" s="17"/>
      <c r="C80" s="122" t="s">
        <v>53</v>
      </c>
      <c r="D80" s="123"/>
      <c r="E80" s="123"/>
      <c r="F80" s="124"/>
      <c r="G80" s="18"/>
      <c r="H80" s="2"/>
      <c r="I80" s="3"/>
      <c r="M80" s="96"/>
    </row>
    <row r="81" spans="1:9" ht="15.75" customHeight="1">
      <c r="A81" s="1"/>
      <c r="B81" s="17"/>
      <c r="C81" s="125" t="s">
        <v>54</v>
      </c>
      <c r="D81" s="123"/>
      <c r="E81" s="123"/>
      <c r="F81" s="124"/>
      <c r="G81" s="18"/>
      <c r="H81" s="2"/>
      <c r="I81" s="3"/>
    </row>
    <row r="82" spans="1:9" ht="24.75" customHeight="1">
      <c r="A82" s="1"/>
      <c r="B82" s="36"/>
      <c r="C82" s="37"/>
      <c r="D82" s="37"/>
      <c r="E82" s="37"/>
      <c r="F82" s="37"/>
      <c r="G82" s="38"/>
      <c r="H82" s="2"/>
      <c r="I82" s="3"/>
    </row>
    <row r="83" spans="1:9" ht="15.75" customHeight="1">
      <c r="A83" s="1"/>
      <c r="B83" s="1"/>
      <c r="H83" s="2"/>
      <c r="I83" s="3"/>
    </row>
    <row r="84" spans="1:9" ht="15.75" customHeight="1">
      <c r="A84" s="1"/>
      <c r="B84" s="1"/>
      <c r="H84" s="2"/>
      <c r="I84" s="3"/>
    </row>
    <row r="85" spans="1:9" ht="15.75" customHeight="1">
      <c r="A85" s="1"/>
      <c r="B85" s="1"/>
      <c r="H85" s="2"/>
      <c r="I85" s="3"/>
    </row>
    <row r="86" spans="1:9" ht="15.75" customHeight="1">
      <c r="A86" s="1"/>
      <c r="B86" s="1"/>
      <c r="H86" s="2"/>
      <c r="I86" s="3"/>
    </row>
    <row r="87" spans="1:9" ht="15.75" customHeight="1">
      <c r="A87" s="1"/>
      <c r="B87" s="1"/>
      <c r="H87" s="2"/>
      <c r="I87" s="3"/>
    </row>
    <row r="88" spans="1:9" ht="15.75" customHeight="1">
      <c r="A88" s="1"/>
      <c r="B88" s="1"/>
      <c r="H88" s="2"/>
      <c r="I88" s="3"/>
    </row>
    <row r="89" spans="1:9" ht="15.75" customHeight="1">
      <c r="A89" s="1"/>
      <c r="B89" s="1"/>
      <c r="H89" s="2"/>
      <c r="I89" s="3"/>
    </row>
    <row r="90" spans="1:9" ht="15.75" customHeight="1">
      <c r="A90" s="1"/>
      <c r="B90" s="1"/>
      <c r="H90" s="2"/>
      <c r="I90" s="3"/>
    </row>
    <row r="91" spans="1:9" ht="15.75" customHeight="1">
      <c r="A91" s="1"/>
      <c r="B91" s="1"/>
      <c r="H91" s="2"/>
      <c r="I91" s="3"/>
    </row>
    <row r="92" spans="1:9" ht="15.75" customHeight="1"/>
    <row r="93" spans="1:9" ht="15.75" customHeight="1"/>
    <row r="94" spans="1:9" ht="15.75" customHeight="1"/>
    <row r="95" spans="1:9" ht="15.75" customHeight="1"/>
    <row r="96" spans="1:9"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6">
    <mergeCell ref="C9:F9"/>
    <mergeCell ref="C13:F13"/>
    <mergeCell ref="C15:F15"/>
    <mergeCell ref="C16:F16"/>
    <mergeCell ref="C17:E17"/>
    <mergeCell ref="C18:E18"/>
    <mergeCell ref="C19:E19"/>
    <mergeCell ref="C20:E20"/>
    <mergeCell ref="C21:E21"/>
    <mergeCell ref="C22:E22"/>
    <mergeCell ref="C27:F27"/>
    <mergeCell ref="C29:F29"/>
    <mergeCell ref="C30:F30"/>
    <mergeCell ref="C31:D31"/>
    <mergeCell ref="C32:D32"/>
    <mergeCell ref="C33:D33"/>
    <mergeCell ref="E33:F33"/>
    <mergeCell ref="C34:E34"/>
    <mergeCell ref="C35:E35"/>
    <mergeCell ref="C36:F36"/>
    <mergeCell ref="C37:E37"/>
    <mergeCell ref="C38:E38"/>
    <mergeCell ref="C39:F39"/>
    <mergeCell ref="C40:D40"/>
    <mergeCell ref="E40:F40"/>
    <mergeCell ref="C43:F43"/>
    <mergeCell ref="C44:F44"/>
    <mergeCell ref="C45:E45"/>
    <mergeCell ref="C46:E46"/>
    <mergeCell ref="C49:F49"/>
    <mergeCell ref="C50:F50"/>
    <mergeCell ref="C51:E51"/>
    <mergeCell ref="C52:E52"/>
    <mergeCell ref="C53:F53"/>
    <mergeCell ref="C54:F54"/>
    <mergeCell ref="D77:E77"/>
    <mergeCell ref="D78:E78"/>
    <mergeCell ref="C80:F80"/>
    <mergeCell ref="C81:F81"/>
    <mergeCell ref="C55:E55"/>
    <mergeCell ref="C56:F56"/>
    <mergeCell ref="C57:F57"/>
    <mergeCell ref="C66:D66"/>
    <mergeCell ref="C67:E67"/>
    <mergeCell ref="C72:F72"/>
    <mergeCell ref="C73:F76"/>
  </mergeCells>
  <pageMargins left="0.7" right="0.7" top="0.75" bottom="0.75" header="0" footer="0"/>
  <pageSetup orientation="portrait"/>
  <drawing r:id="rId1"/>
  <tableParts count="5">
    <tablePart r:id="rId2"/>
    <tablePart r:id="rId3"/>
    <tablePart r:id="rId4"/>
    <tablePart r:id="rId5"/>
    <tablePart r:id="rId6"/>
  </tableParts>
  <extLst>
    <ext xmlns:x14="http://schemas.microsoft.com/office/spreadsheetml/2009/9/main" uri="{CCE6A557-97BC-4b89-ADB6-D9C93CAAB3DF}">
      <x14:dataValidations xmlns:xm="http://schemas.microsoft.com/office/excel/2006/main" count="1">
        <x14:dataValidation type="list" allowBlank="1" showInputMessage="1" prompt="Feel free to customize this number." xr:uid="{00000000-0002-0000-0300-000000000000}">
          <x14:formula1>
            <xm:f>Variables!$A$2:$A$5</xm:f>
          </x14:formula1>
          <xm:sqref>F46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001"/>
  <sheetViews>
    <sheetView showGridLines="0" topLeftCell="A40" workbookViewId="0">
      <selection activeCell="D60" sqref="D60"/>
    </sheetView>
  </sheetViews>
  <sheetFormatPr baseColWidth="10" defaultColWidth="12.6640625" defaultRowHeight="15" customHeight="1" outlineLevelRow="1"/>
  <cols>
    <col min="1" max="1" width="0.6640625" customWidth="1"/>
    <col min="2" max="2" width="2" customWidth="1"/>
    <col min="3" max="3" width="32.83203125" customWidth="1"/>
    <col min="4" max="5" width="14.5" customWidth="1"/>
    <col min="6" max="6" width="29.1640625" customWidth="1"/>
    <col min="7" max="7" width="2" customWidth="1"/>
    <col min="8" max="9" width="1.33203125" customWidth="1"/>
    <col min="10" max="10" width="4" customWidth="1"/>
    <col min="11" max="13" width="14.5" customWidth="1"/>
    <col min="14" max="14" width="22.33203125" customWidth="1"/>
    <col min="15" max="27" width="14.5" customWidth="1"/>
  </cols>
  <sheetData>
    <row r="1" spans="1:14" ht="15.75" customHeight="1">
      <c r="A1" s="1"/>
      <c r="B1" s="1"/>
      <c r="H1" s="2"/>
      <c r="I1" s="3"/>
    </row>
    <row r="2" spans="1:14" ht="15.75" customHeight="1">
      <c r="A2" s="1"/>
      <c r="B2" s="1"/>
      <c r="H2" s="2"/>
      <c r="I2" s="3"/>
    </row>
    <row r="3" spans="1:14" ht="15.75" customHeight="1">
      <c r="A3" s="1"/>
      <c r="B3" s="1"/>
      <c r="H3" s="2"/>
      <c r="I3" s="3"/>
    </row>
    <row r="4" spans="1:14" ht="15.75" customHeight="1">
      <c r="A4" s="1"/>
      <c r="C4" s="4" t="s">
        <v>0</v>
      </c>
      <c r="D4" s="4"/>
      <c r="E4" s="4"/>
      <c r="F4" s="4"/>
      <c r="G4" s="4"/>
      <c r="H4" s="2"/>
      <c r="I4" s="3"/>
    </row>
    <row r="5" spans="1:14" ht="15.75" customHeight="1">
      <c r="A5" s="1"/>
      <c r="B5" s="4"/>
      <c r="C5" s="5" t="s">
        <v>1</v>
      </c>
      <c r="D5" s="4"/>
      <c r="E5" s="4"/>
      <c r="F5" s="4"/>
      <c r="G5" s="4"/>
      <c r="H5" s="2"/>
      <c r="I5" s="3"/>
    </row>
    <row r="6" spans="1:14" ht="15.75" customHeight="1">
      <c r="A6" s="1"/>
      <c r="C6" s="5"/>
      <c r="D6" s="5"/>
      <c r="E6" s="5"/>
      <c r="F6" s="5"/>
      <c r="G6" s="5"/>
      <c r="H6" s="2"/>
      <c r="I6" s="3"/>
    </row>
    <row r="7" spans="1:14" ht="15.75" customHeight="1">
      <c r="A7" s="1"/>
      <c r="B7" s="1"/>
      <c r="H7" s="2"/>
      <c r="I7" s="3"/>
    </row>
    <row r="8" spans="1:14" ht="15.75" customHeight="1">
      <c r="A8" s="1"/>
      <c r="B8" s="1"/>
      <c r="C8" s="6"/>
      <c r="D8" s="6"/>
      <c r="E8" s="6"/>
      <c r="F8" s="6"/>
      <c r="H8" s="2"/>
      <c r="I8" s="3"/>
    </row>
    <row r="9" spans="1:14" ht="78.75" customHeight="1">
      <c r="A9" s="7"/>
      <c r="B9" s="8"/>
      <c r="C9" s="164" t="s">
        <v>2</v>
      </c>
      <c r="D9" s="123"/>
      <c r="E9" s="123"/>
      <c r="F9" s="124"/>
      <c r="G9" s="9"/>
      <c r="H9" s="2"/>
      <c r="I9" s="3"/>
    </row>
    <row r="10" spans="1:14" ht="15.75" customHeight="1">
      <c r="A10" s="1"/>
      <c r="B10" s="1"/>
      <c r="H10" s="2"/>
      <c r="I10" s="3"/>
    </row>
    <row r="11" spans="1:14" ht="15.75" customHeight="1">
      <c r="A11" s="1"/>
      <c r="B11" s="1"/>
      <c r="H11" s="2"/>
      <c r="I11" s="3"/>
    </row>
    <row r="12" spans="1:14" ht="15.75" customHeight="1">
      <c r="A12" s="1"/>
      <c r="B12" s="10"/>
      <c r="C12" s="11"/>
      <c r="D12" s="11"/>
      <c r="E12" s="11"/>
      <c r="F12" s="11"/>
      <c r="G12" s="12"/>
      <c r="H12" s="2"/>
      <c r="I12" s="3"/>
    </row>
    <row r="13" spans="1:14" ht="36" customHeight="1">
      <c r="A13" s="13"/>
      <c r="B13" s="14"/>
      <c r="C13" s="165" t="s">
        <v>3</v>
      </c>
      <c r="D13" s="123"/>
      <c r="E13" s="123"/>
      <c r="F13" s="124"/>
      <c r="G13" s="15"/>
      <c r="H13" s="16"/>
      <c r="I13" s="3"/>
    </row>
    <row r="14" spans="1:14" ht="15.75" customHeight="1">
      <c r="A14" s="1"/>
      <c r="B14" s="17"/>
      <c r="C14" s="1"/>
      <c r="D14" s="1"/>
      <c r="E14" s="1"/>
      <c r="F14" s="1"/>
      <c r="G14" s="18"/>
      <c r="H14" s="2"/>
      <c r="I14" s="3"/>
    </row>
    <row r="15" spans="1:14" ht="36.75" customHeight="1">
      <c r="A15" s="19"/>
      <c r="B15" s="20"/>
      <c r="C15" s="157" t="s">
        <v>4</v>
      </c>
      <c r="D15" s="151"/>
      <c r="E15" s="151"/>
      <c r="F15" s="152"/>
      <c r="G15" s="21"/>
      <c r="H15" s="2"/>
      <c r="I15" s="3"/>
    </row>
    <row r="16" spans="1:14" ht="60" customHeight="1">
      <c r="A16" s="22"/>
      <c r="B16" s="23"/>
      <c r="C16" s="153" t="s">
        <v>5</v>
      </c>
      <c r="D16" s="123"/>
      <c r="E16" s="123"/>
      <c r="F16" s="127"/>
      <c r="G16" s="18"/>
      <c r="H16" s="2"/>
      <c r="I16" s="3"/>
      <c r="J16" s="72"/>
      <c r="K16" s="85">
        <f>5769*(1+'Year 2'!K17)</f>
        <v>6057.45</v>
      </c>
      <c r="L16" s="73" t="s">
        <v>55</v>
      </c>
      <c r="M16" s="83"/>
      <c r="N16" s="83"/>
    </row>
    <row r="17" spans="1:14" ht="24" customHeight="1">
      <c r="A17" s="24"/>
      <c r="B17" s="25"/>
      <c r="C17" s="147" t="s">
        <v>6</v>
      </c>
      <c r="D17" s="123"/>
      <c r="E17" s="124"/>
      <c r="F17" s="26" t="s">
        <v>7</v>
      </c>
      <c r="G17" s="27"/>
      <c r="H17" s="28"/>
      <c r="I17" s="3"/>
      <c r="J17" s="86"/>
      <c r="K17" s="97">
        <v>0.05</v>
      </c>
      <c r="L17" s="83" t="s">
        <v>84</v>
      </c>
      <c r="M17" s="83"/>
      <c r="N17" s="83"/>
    </row>
    <row r="18" spans="1:14" ht="54" customHeight="1">
      <c r="A18" s="29"/>
      <c r="B18" s="30"/>
      <c r="C18" s="159" t="s">
        <v>63</v>
      </c>
      <c r="D18" s="132"/>
      <c r="E18" s="130"/>
      <c r="F18" s="31">
        <f>(K16*(1+K17))*K18</f>
        <v>95.404837499999999</v>
      </c>
      <c r="G18" s="18"/>
      <c r="H18" s="2"/>
      <c r="I18" s="3"/>
      <c r="K18" s="87">
        <v>1.4999999999999999E-2</v>
      </c>
      <c r="L18" s="73" t="s">
        <v>62</v>
      </c>
      <c r="M18" s="83"/>
      <c r="N18" s="83"/>
    </row>
    <row r="19" spans="1:14" ht="24" customHeight="1">
      <c r="A19" s="24"/>
      <c r="B19" s="25"/>
      <c r="C19" s="147" t="s">
        <v>9</v>
      </c>
      <c r="D19" s="123"/>
      <c r="E19" s="124"/>
      <c r="F19" s="26" t="s">
        <v>10</v>
      </c>
      <c r="G19" s="27"/>
      <c r="H19" s="28"/>
      <c r="I19" s="3"/>
      <c r="J19" s="88"/>
      <c r="K19" s="89"/>
      <c r="L19" s="90"/>
      <c r="M19" s="83"/>
      <c r="N19" s="83"/>
    </row>
    <row r="20" spans="1:14" ht="57" customHeight="1">
      <c r="A20" s="29"/>
      <c r="B20" s="30"/>
      <c r="C20" s="161" t="s">
        <v>11</v>
      </c>
      <c r="D20" s="123"/>
      <c r="E20" s="124"/>
      <c r="F20" s="31">
        <v>12</v>
      </c>
      <c r="G20" s="18"/>
      <c r="H20" s="32"/>
      <c r="I20" s="3"/>
      <c r="J20" s="91"/>
      <c r="K20" s="73"/>
      <c r="L20" s="73"/>
      <c r="M20" s="83"/>
      <c r="N20" s="83"/>
    </row>
    <row r="21" spans="1:14" ht="57" customHeight="1">
      <c r="A21" s="29"/>
      <c r="B21" s="30"/>
      <c r="C21" s="161" t="s">
        <v>65</v>
      </c>
      <c r="D21" s="123"/>
      <c r="E21" s="124"/>
      <c r="F21" s="31">
        <f>'Year 2'!F21*(1+K21)</f>
        <v>10080</v>
      </c>
      <c r="G21" s="18"/>
      <c r="H21" s="32"/>
      <c r="I21" s="3"/>
      <c r="J21" s="91"/>
      <c r="K21" s="98">
        <v>0.6</v>
      </c>
      <c r="L21" s="72" t="s">
        <v>85</v>
      </c>
    </row>
    <row r="22" spans="1:14" ht="39.75" customHeight="1">
      <c r="A22" s="33"/>
      <c r="B22" s="34"/>
      <c r="C22" s="162" t="s">
        <v>12</v>
      </c>
      <c r="D22" s="132"/>
      <c r="E22" s="130"/>
      <c r="F22" s="35">
        <f>F18*F20*F21</f>
        <v>11540169.144000001</v>
      </c>
      <c r="G22" s="18"/>
      <c r="H22" s="2"/>
      <c r="I22" s="3"/>
      <c r="J22" s="91"/>
      <c r="K22" s="91"/>
      <c r="L22" s="72"/>
    </row>
    <row r="23" spans="1:14" ht="15.75" customHeight="1">
      <c r="A23" s="1"/>
      <c r="B23" s="36"/>
      <c r="C23" s="37"/>
      <c r="D23" s="37"/>
      <c r="E23" s="37"/>
      <c r="F23" s="37"/>
      <c r="G23" s="38"/>
      <c r="H23" s="2"/>
      <c r="I23" s="3"/>
      <c r="J23" s="92"/>
      <c r="K23" s="92"/>
      <c r="L23" s="72"/>
    </row>
    <row r="24" spans="1:14" ht="15.75" customHeight="1">
      <c r="A24" s="1"/>
      <c r="B24" s="1"/>
      <c r="H24" s="2"/>
      <c r="I24" s="3"/>
      <c r="J24" s="91"/>
      <c r="K24" s="91"/>
      <c r="L24" s="91"/>
    </row>
    <row r="25" spans="1:14" ht="15.75" customHeight="1">
      <c r="A25" s="1"/>
      <c r="B25" s="1"/>
      <c r="H25" s="2"/>
      <c r="I25" s="3"/>
      <c r="J25" s="93"/>
      <c r="K25" s="93"/>
      <c r="L25" s="86"/>
      <c r="M25" s="93"/>
    </row>
    <row r="26" spans="1:14" ht="15.75" customHeight="1">
      <c r="A26" s="1"/>
      <c r="B26" s="10"/>
      <c r="C26" s="11"/>
      <c r="D26" s="11"/>
      <c r="E26" s="11"/>
      <c r="F26" s="11"/>
      <c r="G26" s="12"/>
      <c r="H26" s="2"/>
      <c r="I26" s="3"/>
    </row>
    <row r="27" spans="1:14" ht="15.75" customHeight="1">
      <c r="A27" s="1"/>
      <c r="B27" s="17"/>
      <c r="C27" s="163" t="s">
        <v>13</v>
      </c>
      <c r="D27" s="123"/>
      <c r="E27" s="123"/>
      <c r="F27" s="124"/>
      <c r="G27" s="18"/>
      <c r="H27" s="2"/>
      <c r="I27" s="3"/>
    </row>
    <row r="28" spans="1:14" ht="15.75" customHeight="1">
      <c r="A28" s="1"/>
      <c r="B28" s="17"/>
      <c r="C28" s="1"/>
      <c r="D28" s="1"/>
      <c r="E28" s="1"/>
      <c r="F28" s="1"/>
      <c r="G28" s="18"/>
      <c r="H28" s="2"/>
      <c r="I28" s="3"/>
    </row>
    <row r="29" spans="1:14" ht="35.25" customHeight="1">
      <c r="A29" s="19"/>
      <c r="B29" s="20"/>
      <c r="C29" s="157" t="s">
        <v>14</v>
      </c>
      <c r="D29" s="151"/>
      <c r="E29" s="151"/>
      <c r="F29" s="152"/>
      <c r="G29" s="18"/>
      <c r="H29" s="2"/>
      <c r="I29" s="3"/>
    </row>
    <row r="30" spans="1:14" ht="45" customHeight="1">
      <c r="A30" s="22"/>
      <c r="B30" s="23"/>
      <c r="C30" s="153" t="s">
        <v>15</v>
      </c>
      <c r="D30" s="123"/>
      <c r="E30" s="123"/>
      <c r="F30" s="127"/>
      <c r="G30" s="18"/>
      <c r="H30" s="39"/>
      <c r="I30" s="3"/>
    </row>
    <row r="31" spans="1:14" ht="24" customHeight="1">
      <c r="A31" s="22"/>
      <c r="B31" s="23"/>
      <c r="C31" s="147" t="s">
        <v>16</v>
      </c>
      <c r="D31" s="124"/>
      <c r="E31" s="40" t="s">
        <v>17</v>
      </c>
      <c r="F31" s="26" t="s">
        <v>18</v>
      </c>
      <c r="G31" s="18"/>
      <c r="H31" s="39"/>
      <c r="I31" s="3"/>
    </row>
    <row r="32" spans="1:14" ht="72" customHeight="1">
      <c r="A32" s="22"/>
      <c r="B32" s="23"/>
      <c r="C32" s="159" t="s">
        <v>19</v>
      </c>
      <c r="D32" s="130"/>
      <c r="E32" s="41">
        <f>(125506*1.1)*1.1</f>
        <v>151862.26</v>
      </c>
      <c r="F32" s="42">
        <v>33</v>
      </c>
      <c r="G32" s="18"/>
      <c r="H32" s="39"/>
      <c r="I32" s="3"/>
      <c r="K32" s="75" t="s">
        <v>86</v>
      </c>
    </row>
    <row r="33" spans="1:9" ht="15.75" customHeight="1">
      <c r="A33" s="43"/>
      <c r="B33" s="44"/>
      <c r="C33" s="129" t="s">
        <v>20</v>
      </c>
      <c r="D33" s="130"/>
      <c r="E33" s="160">
        <f>SUMPRODUCT(E32, F32)</f>
        <v>5011454.58</v>
      </c>
      <c r="F33" s="156"/>
      <c r="G33" s="18"/>
      <c r="H33" s="2"/>
      <c r="I33" s="3"/>
    </row>
    <row r="34" spans="1:9" ht="24" customHeight="1">
      <c r="A34" s="24"/>
      <c r="B34" s="25"/>
      <c r="C34" s="147" t="s">
        <v>21</v>
      </c>
      <c r="D34" s="123"/>
      <c r="E34" s="124"/>
      <c r="F34" s="26" t="s">
        <v>22</v>
      </c>
      <c r="G34" s="27"/>
      <c r="H34" s="28"/>
      <c r="I34" s="3"/>
    </row>
    <row r="35" spans="1:9" ht="30" customHeight="1">
      <c r="A35" s="29"/>
      <c r="B35" s="30"/>
      <c r="C35" s="158" t="s">
        <v>100</v>
      </c>
      <c r="D35" s="132"/>
      <c r="E35" s="130"/>
      <c r="F35" s="45">
        <v>0.33329999999999999</v>
      </c>
      <c r="G35" s="18"/>
      <c r="H35" s="2"/>
      <c r="I35" s="3"/>
    </row>
    <row r="36" spans="1:9" ht="15.75" customHeight="1" outlineLevel="1">
      <c r="A36" s="29"/>
      <c r="B36" s="30"/>
      <c r="C36" s="128" t="s">
        <v>101</v>
      </c>
      <c r="D36" s="123"/>
      <c r="E36" s="123"/>
      <c r="F36" s="127"/>
      <c r="G36" s="18"/>
      <c r="H36" s="2"/>
      <c r="I36" s="3"/>
    </row>
    <row r="37" spans="1:9" ht="15.75" customHeight="1">
      <c r="A37" s="24"/>
      <c r="B37" s="25"/>
      <c r="C37" s="147" t="s">
        <v>25</v>
      </c>
      <c r="D37" s="123"/>
      <c r="E37" s="124"/>
      <c r="F37" s="26" t="s">
        <v>22</v>
      </c>
      <c r="G37" s="27"/>
      <c r="H37" s="28"/>
      <c r="I37" s="3"/>
    </row>
    <row r="38" spans="1:9" ht="46.5" customHeight="1" collapsed="1">
      <c r="A38" s="29"/>
      <c r="B38" s="30"/>
      <c r="C38" s="126" t="s">
        <v>102</v>
      </c>
      <c r="D38" s="123"/>
      <c r="E38" s="124"/>
      <c r="F38" s="45">
        <v>0.3</v>
      </c>
      <c r="G38" s="18"/>
      <c r="H38" s="2"/>
      <c r="I38" s="3"/>
    </row>
    <row r="39" spans="1:9" ht="54" hidden="1" customHeight="1" outlineLevel="1">
      <c r="A39" s="29"/>
      <c r="B39" s="30"/>
      <c r="C39" s="128" t="s">
        <v>103</v>
      </c>
      <c r="D39" s="123"/>
      <c r="E39" s="123"/>
      <c r="F39" s="127"/>
      <c r="G39" s="18"/>
      <c r="H39" s="2"/>
      <c r="I39" s="3"/>
    </row>
    <row r="40" spans="1:9" ht="29.25" customHeight="1">
      <c r="A40" s="33"/>
      <c r="B40" s="34"/>
      <c r="C40" s="154" t="s">
        <v>28</v>
      </c>
      <c r="D40" s="130"/>
      <c r="E40" s="155">
        <f>E33 * (1 + F35 + F38)</f>
        <v>8185208.7655140003</v>
      </c>
      <c r="F40" s="156"/>
      <c r="G40" s="18"/>
      <c r="H40" s="2"/>
      <c r="I40" s="3"/>
    </row>
    <row r="41" spans="1:9" ht="15.75" customHeight="1">
      <c r="A41" s="1"/>
      <c r="B41" s="17"/>
      <c r="C41" s="46"/>
      <c r="D41" s="46"/>
      <c r="E41" s="46"/>
      <c r="F41" s="46"/>
      <c r="G41" s="18"/>
      <c r="H41" s="2"/>
      <c r="I41" s="3"/>
    </row>
    <row r="42" spans="1:9" ht="15.75" customHeight="1">
      <c r="A42" s="1"/>
      <c r="B42" s="17"/>
      <c r="C42" s="46"/>
      <c r="D42" s="46"/>
      <c r="E42" s="46"/>
      <c r="F42" s="46"/>
      <c r="G42" s="18"/>
      <c r="H42" s="2"/>
      <c r="I42" s="3"/>
    </row>
    <row r="43" spans="1:9" ht="36.75" customHeight="1">
      <c r="A43" s="19"/>
      <c r="B43" s="20"/>
      <c r="C43" s="157" t="s">
        <v>29</v>
      </c>
      <c r="D43" s="151"/>
      <c r="E43" s="151"/>
      <c r="F43" s="152"/>
      <c r="G43" s="18"/>
      <c r="H43" s="2"/>
      <c r="I43" s="3"/>
    </row>
    <row r="44" spans="1:9" ht="60" customHeight="1">
      <c r="A44" s="22"/>
      <c r="B44" s="23"/>
      <c r="C44" s="153" t="s">
        <v>30</v>
      </c>
      <c r="D44" s="123"/>
      <c r="E44" s="123"/>
      <c r="F44" s="127"/>
      <c r="G44" s="18"/>
      <c r="H44" s="2"/>
      <c r="I44" s="3"/>
    </row>
    <row r="45" spans="1:9" ht="18.75" customHeight="1">
      <c r="A45" s="24"/>
      <c r="B45" s="25"/>
      <c r="C45" s="147" t="s">
        <v>31</v>
      </c>
      <c r="D45" s="123"/>
      <c r="E45" s="124"/>
      <c r="F45" s="26" t="s">
        <v>7</v>
      </c>
      <c r="G45" s="18"/>
      <c r="H45" s="2"/>
      <c r="I45" s="3"/>
    </row>
    <row r="46" spans="1:9" ht="145.5" customHeight="1">
      <c r="A46" s="29"/>
      <c r="B46" s="30"/>
      <c r="C46" s="126" t="s">
        <v>104</v>
      </c>
      <c r="D46" s="123"/>
      <c r="E46" s="124"/>
      <c r="F46" s="47">
        <v>500000</v>
      </c>
      <c r="G46" s="18"/>
      <c r="H46" s="2"/>
      <c r="I46" s="3"/>
    </row>
    <row r="47" spans="1:9" ht="15.75" customHeight="1">
      <c r="A47" s="1"/>
      <c r="B47" s="17"/>
      <c r="C47" s="46"/>
      <c r="D47" s="46"/>
      <c r="E47" s="46"/>
      <c r="F47" s="46"/>
      <c r="G47" s="18"/>
      <c r="H47" s="2"/>
      <c r="I47" s="3"/>
    </row>
    <row r="48" spans="1:9" ht="15.75" customHeight="1">
      <c r="A48" s="1"/>
      <c r="B48" s="17"/>
      <c r="C48" s="46"/>
      <c r="D48" s="46"/>
      <c r="E48" s="46"/>
      <c r="F48" s="46"/>
      <c r="G48" s="18"/>
      <c r="H48" s="2"/>
      <c r="I48" s="3"/>
    </row>
    <row r="49" spans="1:9" ht="36.75" customHeight="1">
      <c r="A49" s="19"/>
      <c r="B49" s="20"/>
      <c r="C49" s="150" t="s">
        <v>105</v>
      </c>
      <c r="D49" s="151"/>
      <c r="E49" s="151"/>
      <c r="F49" s="152"/>
      <c r="G49" s="18"/>
      <c r="H49" s="2"/>
      <c r="I49" s="3"/>
    </row>
    <row r="50" spans="1:9" ht="45" customHeight="1">
      <c r="A50" s="48"/>
      <c r="B50" s="49"/>
      <c r="C50" s="153" t="s">
        <v>34</v>
      </c>
      <c r="D50" s="123"/>
      <c r="E50" s="123"/>
      <c r="F50" s="127"/>
      <c r="G50" s="18"/>
      <c r="H50" s="2"/>
      <c r="I50" s="3"/>
    </row>
    <row r="51" spans="1:9" ht="24" customHeight="1">
      <c r="A51" s="24"/>
      <c r="B51" s="25"/>
      <c r="C51" s="147" t="s">
        <v>35</v>
      </c>
      <c r="D51" s="123"/>
      <c r="E51" s="124"/>
      <c r="F51" s="26" t="s">
        <v>7</v>
      </c>
      <c r="G51" s="18"/>
      <c r="H51" s="2"/>
      <c r="I51" s="3"/>
    </row>
    <row r="52" spans="1:9" ht="78.75" customHeight="1">
      <c r="A52" s="50"/>
      <c r="B52" s="51"/>
      <c r="C52" s="145" t="s">
        <v>106</v>
      </c>
      <c r="D52" s="132"/>
      <c r="E52" s="130"/>
      <c r="F52" s="47">
        <v>5000</v>
      </c>
      <c r="G52" s="18"/>
      <c r="H52" s="2"/>
      <c r="I52" s="3"/>
    </row>
    <row r="53" spans="1:9" ht="81" hidden="1" customHeight="1" outlineLevel="1">
      <c r="A53" s="50"/>
      <c r="B53" s="51"/>
      <c r="C53" s="146" t="s">
        <v>107</v>
      </c>
      <c r="D53" s="123"/>
      <c r="E53" s="123"/>
      <c r="F53" s="127"/>
      <c r="G53" s="18"/>
      <c r="H53" s="2"/>
      <c r="I53" s="3"/>
    </row>
    <row r="54" spans="1:9" ht="54.75" customHeight="1" outlineLevel="1">
      <c r="A54" s="50"/>
      <c r="B54" s="51"/>
      <c r="C54" s="146" t="s">
        <v>108</v>
      </c>
      <c r="D54" s="123"/>
      <c r="E54" s="123"/>
      <c r="F54" s="127"/>
      <c r="G54" s="18"/>
      <c r="H54" s="2"/>
      <c r="I54" s="3"/>
    </row>
    <row r="55" spans="1:9" ht="24" customHeight="1">
      <c r="A55" s="24"/>
      <c r="B55" s="25"/>
      <c r="C55" s="147" t="s">
        <v>39</v>
      </c>
      <c r="D55" s="123"/>
      <c r="E55" s="124"/>
      <c r="F55" s="26"/>
      <c r="G55" s="18"/>
      <c r="H55" s="2"/>
      <c r="I55" s="3"/>
    </row>
    <row r="56" spans="1:9" ht="15.75" customHeight="1" collapsed="1">
      <c r="A56" s="29"/>
      <c r="B56" s="30"/>
      <c r="C56" s="126" t="s">
        <v>109</v>
      </c>
      <c r="D56" s="123"/>
      <c r="E56" s="123"/>
      <c r="F56" s="127"/>
      <c r="G56" s="18"/>
      <c r="H56" s="2"/>
      <c r="I56" s="3"/>
    </row>
    <row r="57" spans="1:9" ht="58.5" hidden="1" customHeight="1" outlineLevel="1">
      <c r="A57" s="50"/>
      <c r="B57" s="51"/>
      <c r="C57" s="128" t="s">
        <v>41</v>
      </c>
      <c r="D57" s="123"/>
      <c r="E57" s="123"/>
      <c r="F57" s="127"/>
      <c r="G57" s="18"/>
      <c r="H57" s="2"/>
      <c r="I57" s="3"/>
    </row>
    <row r="58" spans="1:9" ht="24" customHeight="1">
      <c r="A58" s="24"/>
      <c r="B58" s="25"/>
      <c r="C58" s="52" t="s">
        <v>42</v>
      </c>
      <c r="D58" s="40" t="s">
        <v>43</v>
      </c>
      <c r="E58" s="40" t="s">
        <v>44</v>
      </c>
      <c r="F58" s="26" t="s">
        <v>45</v>
      </c>
      <c r="G58" s="18"/>
      <c r="H58" s="2"/>
      <c r="I58" s="3"/>
    </row>
    <row r="59" spans="1:9" ht="24" customHeight="1">
      <c r="A59" s="24"/>
      <c r="B59" s="25"/>
      <c r="C59" s="53" t="s">
        <v>97</v>
      </c>
      <c r="D59" s="54">
        <v>1299</v>
      </c>
      <c r="E59" s="55">
        <v>3</v>
      </c>
      <c r="F59" s="56">
        <f t="shared" ref="F59:F65" si="0">D59*E59</f>
        <v>3897</v>
      </c>
      <c r="G59" s="18"/>
      <c r="H59" s="2"/>
      <c r="I59" s="3"/>
    </row>
    <row r="60" spans="1:9" ht="24" customHeight="1">
      <c r="A60" s="24"/>
      <c r="B60" s="25"/>
      <c r="C60" s="53" t="s">
        <v>77</v>
      </c>
      <c r="D60" s="54">
        <v>30</v>
      </c>
      <c r="E60" s="55">
        <v>850000</v>
      </c>
      <c r="F60" s="57">
        <f t="shared" si="0"/>
        <v>25500000</v>
      </c>
      <c r="G60" s="18"/>
      <c r="H60" s="2"/>
      <c r="I60" s="3"/>
    </row>
    <row r="61" spans="1:9" ht="24" customHeight="1">
      <c r="A61" s="24"/>
      <c r="B61" s="25"/>
      <c r="C61" s="58" t="s">
        <v>78</v>
      </c>
      <c r="D61" s="59">
        <v>700</v>
      </c>
      <c r="E61" s="60">
        <v>3</v>
      </c>
      <c r="F61" s="57">
        <f t="shared" si="0"/>
        <v>2100</v>
      </c>
      <c r="G61" s="18"/>
      <c r="H61" s="2"/>
      <c r="I61" s="3"/>
    </row>
    <row r="62" spans="1:9" ht="24" customHeight="1">
      <c r="A62" s="24"/>
      <c r="B62" s="25"/>
      <c r="C62" s="58" t="s">
        <v>80</v>
      </c>
      <c r="D62" s="59">
        <v>65000</v>
      </c>
      <c r="E62" s="60">
        <v>6</v>
      </c>
      <c r="F62" s="57">
        <f t="shared" si="0"/>
        <v>390000</v>
      </c>
      <c r="G62" s="18"/>
      <c r="H62" s="2"/>
      <c r="I62" s="3"/>
    </row>
    <row r="63" spans="1:9" ht="24" customHeight="1">
      <c r="A63" s="24"/>
      <c r="B63" s="25"/>
      <c r="C63" s="58" t="s">
        <v>81</v>
      </c>
      <c r="D63" s="59">
        <v>1500</v>
      </c>
      <c r="E63" s="60">
        <v>5</v>
      </c>
      <c r="F63" s="57">
        <f t="shared" si="0"/>
        <v>7500</v>
      </c>
      <c r="G63" s="18"/>
      <c r="H63" s="2"/>
      <c r="I63" s="3"/>
    </row>
    <row r="64" spans="1:9" ht="24" customHeight="1">
      <c r="A64" s="24"/>
      <c r="B64" s="25"/>
      <c r="C64" s="58" t="s">
        <v>98</v>
      </c>
      <c r="D64" s="59">
        <f>0.3*F22</f>
        <v>3462050.7432000004</v>
      </c>
      <c r="E64" s="60">
        <v>1</v>
      </c>
      <c r="F64" s="57">
        <f t="shared" si="0"/>
        <v>3462050.7432000004</v>
      </c>
      <c r="G64" s="18"/>
      <c r="H64" s="2"/>
      <c r="I64" s="3"/>
    </row>
    <row r="65" spans="1:13" ht="24" customHeight="1">
      <c r="A65" s="24"/>
      <c r="B65" s="25"/>
      <c r="C65" s="61"/>
      <c r="D65" s="62"/>
      <c r="E65" s="63"/>
      <c r="F65" s="64">
        <f t="shared" si="0"/>
        <v>0</v>
      </c>
      <c r="G65" s="18"/>
      <c r="H65" s="2"/>
      <c r="I65" s="3"/>
    </row>
    <row r="66" spans="1:13" ht="24" customHeight="1">
      <c r="A66" s="24"/>
      <c r="B66" s="25"/>
      <c r="C66" s="129" t="s">
        <v>46</v>
      </c>
      <c r="D66" s="130"/>
      <c r="E66" s="65"/>
      <c r="F66" s="66">
        <f>SUM(F59:F65)</f>
        <v>29365547.7432</v>
      </c>
      <c r="G66" s="18"/>
      <c r="H66" s="2"/>
      <c r="I66" s="3"/>
    </row>
    <row r="67" spans="1:13" ht="63.75" customHeight="1">
      <c r="A67" s="33"/>
      <c r="B67" s="34"/>
      <c r="C67" s="131" t="s">
        <v>47</v>
      </c>
      <c r="D67" s="132"/>
      <c r="E67" s="130"/>
      <c r="F67" s="67">
        <f>F66+F52+F46+E40</f>
        <v>38055756.508713998</v>
      </c>
      <c r="G67" s="18"/>
      <c r="H67" s="2"/>
      <c r="I67" s="3"/>
    </row>
    <row r="68" spans="1:13" ht="15.75" customHeight="1">
      <c r="A68" s="1"/>
      <c r="B68" s="36"/>
      <c r="C68" s="37"/>
      <c r="D68" s="37"/>
      <c r="E68" s="37"/>
      <c r="F68" s="37"/>
      <c r="G68" s="38"/>
      <c r="H68" s="2"/>
      <c r="I68" s="3"/>
      <c r="L68" s="94"/>
    </row>
    <row r="69" spans="1:13" ht="15.75" customHeight="1">
      <c r="A69" s="1"/>
      <c r="B69" s="1"/>
      <c r="H69" s="2"/>
      <c r="I69" s="3"/>
    </row>
    <row r="70" spans="1:13" ht="15.75" customHeight="1">
      <c r="A70" s="1"/>
      <c r="B70" s="1"/>
      <c r="H70" s="2"/>
      <c r="I70" s="3"/>
    </row>
    <row r="71" spans="1:13" ht="15.75" customHeight="1">
      <c r="A71" s="1"/>
      <c r="B71" s="10"/>
      <c r="C71" s="11"/>
      <c r="D71" s="11"/>
      <c r="E71" s="11"/>
      <c r="F71" s="11"/>
      <c r="G71" s="12"/>
      <c r="H71" s="2"/>
      <c r="I71" s="3"/>
    </row>
    <row r="72" spans="1:13" ht="15.75" customHeight="1">
      <c r="A72" s="1"/>
      <c r="B72" s="17"/>
      <c r="C72" s="133" t="s">
        <v>48</v>
      </c>
      <c r="D72" s="123"/>
      <c r="E72" s="123"/>
      <c r="F72" s="124"/>
      <c r="G72" s="18"/>
      <c r="H72" s="2"/>
      <c r="I72" s="3"/>
    </row>
    <row r="73" spans="1:13" ht="15.75" customHeight="1">
      <c r="A73" s="1"/>
      <c r="B73" s="17"/>
      <c r="C73" s="134" t="s">
        <v>110</v>
      </c>
      <c r="D73" s="135"/>
      <c r="E73" s="135"/>
      <c r="F73" s="136"/>
      <c r="G73" s="18"/>
      <c r="H73" s="2"/>
      <c r="I73" s="3"/>
    </row>
    <row r="74" spans="1:13" ht="15.75" customHeight="1">
      <c r="A74" s="1"/>
      <c r="B74" s="17"/>
      <c r="C74" s="137"/>
      <c r="D74" s="138"/>
      <c r="E74" s="138"/>
      <c r="F74" s="139"/>
      <c r="G74" s="18"/>
      <c r="H74" s="2"/>
      <c r="I74" s="3"/>
    </row>
    <row r="75" spans="1:13" ht="15.75" customHeight="1">
      <c r="A75" s="1"/>
      <c r="B75" s="17"/>
      <c r="C75" s="137"/>
      <c r="D75" s="138"/>
      <c r="E75" s="138"/>
      <c r="F75" s="139"/>
      <c r="G75" s="18"/>
      <c r="H75" s="2"/>
      <c r="I75" s="3"/>
    </row>
    <row r="76" spans="1:13" ht="15.75" customHeight="1">
      <c r="A76" s="1"/>
      <c r="B76" s="17"/>
      <c r="C76" s="140"/>
      <c r="D76" s="141"/>
      <c r="E76" s="141"/>
      <c r="F76" s="142"/>
      <c r="G76" s="18"/>
      <c r="H76" s="2"/>
      <c r="I76" s="3"/>
    </row>
    <row r="77" spans="1:13" ht="36" customHeight="1">
      <c r="A77" s="13"/>
      <c r="B77" s="14"/>
      <c r="C77" s="68" t="s">
        <v>50</v>
      </c>
      <c r="D77" s="143" t="s">
        <v>51</v>
      </c>
      <c r="E77" s="144"/>
      <c r="F77" s="69" t="s">
        <v>52</v>
      </c>
      <c r="G77" s="15"/>
      <c r="H77" s="16"/>
      <c r="I77" s="3"/>
    </row>
    <row r="78" spans="1:13" ht="36" customHeight="1">
      <c r="A78" s="13"/>
      <c r="B78" s="14"/>
      <c r="C78" s="95">
        <f>F67/F22</f>
        <v>3.2976775326122545</v>
      </c>
      <c r="D78" s="148">
        <f>C78/12</f>
        <v>0.27480646105102119</v>
      </c>
      <c r="E78" s="149"/>
      <c r="F78" s="71">
        <f>D78/30.5</f>
        <v>9.0100479033121701E-3</v>
      </c>
      <c r="G78" s="15"/>
      <c r="H78" s="16"/>
      <c r="I78" s="3"/>
    </row>
    <row r="79" spans="1:13" ht="21" customHeight="1">
      <c r="A79" s="1"/>
      <c r="B79" s="17"/>
      <c r="C79" s="1"/>
      <c r="D79" s="1"/>
      <c r="E79" s="1"/>
      <c r="F79" s="1"/>
      <c r="G79" s="18"/>
      <c r="H79" s="2"/>
      <c r="I79" s="3"/>
    </row>
    <row r="80" spans="1:13" ht="31.5" customHeight="1">
      <c r="A80" s="1"/>
      <c r="B80" s="17"/>
      <c r="C80" s="122" t="s">
        <v>53</v>
      </c>
      <c r="D80" s="123"/>
      <c r="E80" s="123"/>
      <c r="F80" s="124"/>
      <c r="G80" s="18"/>
      <c r="H80" s="2"/>
      <c r="I80" s="3"/>
      <c r="M80" s="96"/>
    </row>
    <row r="81" spans="1:9" ht="15.75" customHeight="1">
      <c r="A81" s="1"/>
      <c r="B81" s="17"/>
      <c r="C81" s="125" t="s">
        <v>54</v>
      </c>
      <c r="D81" s="123"/>
      <c r="E81" s="123"/>
      <c r="F81" s="124"/>
      <c r="G81" s="18"/>
      <c r="H81" s="2"/>
      <c r="I81" s="3"/>
    </row>
    <row r="82" spans="1:9" ht="24.75" customHeight="1">
      <c r="A82" s="1"/>
      <c r="B82" s="36"/>
      <c r="C82" s="37"/>
      <c r="D82" s="37"/>
      <c r="E82" s="37"/>
      <c r="F82" s="37"/>
      <c r="G82" s="38"/>
      <c r="H82" s="2"/>
      <c r="I82" s="3"/>
    </row>
    <row r="83" spans="1:9" ht="15.75" customHeight="1">
      <c r="A83" s="1"/>
      <c r="B83" s="1"/>
      <c r="H83" s="2"/>
      <c r="I83" s="3"/>
    </row>
    <row r="84" spans="1:9" ht="15.75" customHeight="1">
      <c r="A84" s="1"/>
      <c r="B84" s="1"/>
      <c r="H84" s="2"/>
      <c r="I84" s="3"/>
    </row>
    <row r="85" spans="1:9" ht="15.75" customHeight="1">
      <c r="A85" s="1"/>
      <c r="B85" s="1"/>
      <c r="H85" s="2"/>
      <c r="I85" s="3"/>
    </row>
    <row r="86" spans="1:9" ht="15.75" customHeight="1">
      <c r="A86" s="1"/>
      <c r="B86" s="1"/>
      <c r="H86" s="2"/>
      <c r="I86" s="3"/>
    </row>
    <row r="87" spans="1:9" ht="15.75" customHeight="1">
      <c r="A87" s="1"/>
      <c r="B87" s="1"/>
      <c r="H87" s="2"/>
      <c r="I87" s="3"/>
    </row>
    <row r="88" spans="1:9" ht="15.75" customHeight="1">
      <c r="A88" s="1"/>
      <c r="B88" s="1"/>
      <c r="H88" s="2"/>
      <c r="I88" s="3"/>
    </row>
    <row r="89" spans="1:9" ht="15.75" customHeight="1">
      <c r="A89" s="1"/>
      <c r="B89" s="1"/>
      <c r="H89" s="2"/>
      <c r="I89" s="3"/>
    </row>
    <row r="90" spans="1:9" ht="15.75" customHeight="1">
      <c r="A90" s="1"/>
      <c r="B90" s="1"/>
      <c r="H90" s="2"/>
      <c r="I90" s="3"/>
    </row>
    <row r="91" spans="1:9" ht="15.75" customHeight="1">
      <c r="A91" s="1"/>
      <c r="B91" s="1"/>
      <c r="H91" s="2"/>
      <c r="I91" s="3"/>
    </row>
    <row r="92" spans="1:9" ht="15.75" customHeight="1"/>
    <row r="93" spans="1:9" ht="15.75" customHeight="1"/>
    <row r="94" spans="1:9" ht="15.75" customHeight="1"/>
    <row r="95" spans="1:9" ht="15.75" customHeight="1"/>
    <row r="96" spans="1:9"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6">
    <mergeCell ref="C9:F9"/>
    <mergeCell ref="C13:F13"/>
    <mergeCell ref="C15:F15"/>
    <mergeCell ref="C16:F16"/>
    <mergeCell ref="C17:E17"/>
    <mergeCell ref="C18:E18"/>
    <mergeCell ref="C19:E19"/>
    <mergeCell ref="C20:E20"/>
    <mergeCell ref="C21:E21"/>
    <mergeCell ref="C22:E22"/>
    <mergeCell ref="C27:F27"/>
    <mergeCell ref="C29:F29"/>
    <mergeCell ref="C30:F30"/>
    <mergeCell ref="C31:D31"/>
    <mergeCell ref="C32:D32"/>
    <mergeCell ref="C33:D33"/>
    <mergeCell ref="E33:F33"/>
    <mergeCell ref="C34:E34"/>
    <mergeCell ref="C35:E35"/>
    <mergeCell ref="C36:F36"/>
    <mergeCell ref="C37:E37"/>
    <mergeCell ref="C38:E38"/>
    <mergeCell ref="C39:F39"/>
    <mergeCell ref="C40:D40"/>
    <mergeCell ref="E40:F40"/>
    <mergeCell ref="C43:F43"/>
    <mergeCell ref="C44:F44"/>
    <mergeCell ref="C45:E45"/>
    <mergeCell ref="C46:E46"/>
    <mergeCell ref="C49:F49"/>
    <mergeCell ref="C50:F50"/>
    <mergeCell ref="C51:E51"/>
    <mergeCell ref="C52:E52"/>
    <mergeCell ref="C53:F53"/>
    <mergeCell ref="C54:F54"/>
    <mergeCell ref="D77:E77"/>
    <mergeCell ref="D78:E78"/>
    <mergeCell ref="C80:F80"/>
    <mergeCell ref="C81:F81"/>
    <mergeCell ref="C55:E55"/>
    <mergeCell ref="C56:F56"/>
    <mergeCell ref="C57:F57"/>
    <mergeCell ref="C66:D66"/>
    <mergeCell ref="C67:E67"/>
    <mergeCell ref="C72:F72"/>
    <mergeCell ref="C73:F76"/>
  </mergeCells>
  <pageMargins left="0.7" right="0.7" top="0.75" bottom="0.75" header="0" footer="0"/>
  <pageSetup orientation="portrait"/>
  <drawing r:id="rId1"/>
  <tableParts count="5">
    <tablePart r:id="rId2"/>
    <tablePart r:id="rId3"/>
    <tablePart r:id="rId4"/>
    <tablePart r:id="rId5"/>
    <tablePart r:id="rId6"/>
  </tableParts>
  <extLst>
    <ext xmlns:x14="http://schemas.microsoft.com/office/spreadsheetml/2009/9/main" uri="{CCE6A557-97BC-4b89-ADB6-D9C93CAAB3DF}">
      <x14:dataValidations xmlns:xm="http://schemas.microsoft.com/office/excel/2006/main" count="1">
        <x14:dataValidation type="list" allowBlank="1" showInputMessage="1" prompt="Feel free to customize this number." xr:uid="{00000000-0002-0000-0400-000000000000}">
          <x14:formula1>
            <xm:f>Variables!$A$2:$A$5</xm:f>
          </x14:formula1>
          <xm:sqref>F46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001"/>
  <sheetViews>
    <sheetView showGridLines="0" topLeftCell="A37" workbookViewId="0"/>
  </sheetViews>
  <sheetFormatPr baseColWidth="10" defaultColWidth="12.6640625" defaultRowHeight="15" customHeight="1" outlineLevelRow="1"/>
  <cols>
    <col min="1" max="1" width="0.6640625" customWidth="1"/>
    <col min="2" max="2" width="2" customWidth="1"/>
    <col min="3" max="3" width="32.83203125" customWidth="1"/>
    <col min="4" max="5" width="14.5" customWidth="1"/>
    <col min="6" max="6" width="29.1640625" customWidth="1"/>
    <col min="7" max="7" width="2" customWidth="1"/>
    <col min="8" max="9" width="1.33203125" customWidth="1"/>
    <col min="10" max="10" width="4" customWidth="1"/>
    <col min="11" max="13" width="14.5" customWidth="1"/>
    <col min="14" max="14" width="22.33203125" customWidth="1"/>
    <col min="15" max="27" width="14.5" customWidth="1"/>
  </cols>
  <sheetData>
    <row r="1" spans="1:14" ht="15.75" customHeight="1">
      <c r="A1" s="1"/>
      <c r="B1" s="1"/>
      <c r="H1" s="2"/>
      <c r="I1" s="3"/>
    </row>
    <row r="2" spans="1:14" ht="15.75" customHeight="1">
      <c r="A2" s="1"/>
      <c r="B2" s="1"/>
      <c r="H2" s="2"/>
      <c r="I2" s="3"/>
    </row>
    <row r="3" spans="1:14" ht="15.75" customHeight="1">
      <c r="A3" s="1"/>
      <c r="B3" s="1"/>
      <c r="H3" s="2"/>
      <c r="I3" s="3"/>
    </row>
    <row r="4" spans="1:14" ht="15.75" customHeight="1">
      <c r="A4" s="1"/>
      <c r="C4" s="4" t="s">
        <v>0</v>
      </c>
      <c r="D4" s="4"/>
      <c r="E4" s="4"/>
      <c r="F4" s="4"/>
      <c r="G4" s="4"/>
      <c r="H4" s="2"/>
      <c r="I4" s="3"/>
    </row>
    <row r="5" spans="1:14" ht="15.75" customHeight="1">
      <c r="A5" s="1"/>
      <c r="B5" s="4"/>
      <c r="C5" s="5" t="s">
        <v>1</v>
      </c>
      <c r="D5" s="4"/>
      <c r="E5" s="4"/>
      <c r="F5" s="4"/>
      <c r="G5" s="4"/>
      <c r="H5" s="2"/>
      <c r="I5" s="3"/>
    </row>
    <row r="6" spans="1:14" ht="15.75" customHeight="1">
      <c r="A6" s="1"/>
      <c r="C6" s="5"/>
      <c r="D6" s="5"/>
      <c r="E6" s="5"/>
      <c r="F6" s="5"/>
      <c r="G6" s="5"/>
      <c r="H6" s="2"/>
      <c r="I6" s="3"/>
    </row>
    <row r="7" spans="1:14" ht="15.75" customHeight="1">
      <c r="A7" s="1"/>
      <c r="B7" s="1"/>
      <c r="H7" s="2"/>
      <c r="I7" s="3"/>
    </row>
    <row r="8" spans="1:14" ht="15.75" customHeight="1">
      <c r="A8" s="1"/>
      <c r="B8" s="1"/>
      <c r="C8" s="6"/>
      <c r="D8" s="6"/>
      <c r="E8" s="6"/>
      <c r="F8" s="6"/>
      <c r="H8" s="2"/>
      <c r="I8" s="3"/>
    </row>
    <row r="9" spans="1:14" ht="78.75" customHeight="1">
      <c r="A9" s="7"/>
      <c r="B9" s="8"/>
      <c r="C9" s="164" t="s">
        <v>2</v>
      </c>
      <c r="D9" s="123"/>
      <c r="E9" s="123"/>
      <c r="F9" s="124"/>
      <c r="G9" s="9"/>
      <c r="H9" s="2"/>
      <c r="I9" s="3"/>
    </row>
    <row r="10" spans="1:14" ht="15.75" customHeight="1">
      <c r="A10" s="1"/>
      <c r="B10" s="1"/>
      <c r="H10" s="2"/>
      <c r="I10" s="3"/>
    </row>
    <row r="11" spans="1:14" ht="15.75" customHeight="1">
      <c r="A11" s="1"/>
      <c r="B11" s="1"/>
      <c r="H11" s="2"/>
      <c r="I11" s="3"/>
    </row>
    <row r="12" spans="1:14" ht="15.75" customHeight="1">
      <c r="A12" s="1"/>
      <c r="B12" s="10"/>
      <c r="C12" s="11"/>
      <c r="D12" s="11"/>
      <c r="E12" s="11"/>
      <c r="F12" s="11"/>
      <c r="G12" s="12"/>
      <c r="H12" s="2"/>
      <c r="I12" s="3"/>
    </row>
    <row r="13" spans="1:14" ht="36" customHeight="1">
      <c r="A13" s="13"/>
      <c r="B13" s="14"/>
      <c r="C13" s="165" t="s">
        <v>3</v>
      </c>
      <c r="D13" s="123"/>
      <c r="E13" s="123"/>
      <c r="F13" s="124"/>
      <c r="G13" s="15"/>
      <c r="H13" s="16"/>
      <c r="I13" s="3"/>
    </row>
    <row r="14" spans="1:14" ht="15.75" customHeight="1">
      <c r="A14" s="1"/>
      <c r="B14" s="17"/>
      <c r="C14" s="1"/>
      <c r="D14" s="1"/>
      <c r="E14" s="1"/>
      <c r="F14" s="1"/>
      <c r="G14" s="18"/>
      <c r="H14" s="2"/>
      <c r="I14" s="3"/>
    </row>
    <row r="15" spans="1:14" ht="36.75" customHeight="1">
      <c r="A15" s="19"/>
      <c r="B15" s="20"/>
      <c r="C15" s="157" t="s">
        <v>4</v>
      </c>
      <c r="D15" s="151"/>
      <c r="E15" s="151"/>
      <c r="F15" s="152"/>
      <c r="G15" s="21"/>
      <c r="H15" s="2"/>
      <c r="I15" s="3"/>
    </row>
    <row r="16" spans="1:14" ht="60" customHeight="1">
      <c r="A16" s="22"/>
      <c r="B16" s="23"/>
      <c r="C16" s="153" t="s">
        <v>5</v>
      </c>
      <c r="D16" s="123"/>
      <c r="E16" s="123"/>
      <c r="F16" s="127"/>
      <c r="G16" s="18"/>
      <c r="H16" s="2"/>
      <c r="I16" s="3"/>
      <c r="J16" s="72"/>
      <c r="K16" s="85">
        <f>5769*(1+'Year 2'!K17)*(1+'Year 3'!K17)</f>
        <v>6360.3225000000002</v>
      </c>
      <c r="L16" s="73" t="s">
        <v>55</v>
      </c>
      <c r="M16" s="83"/>
      <c r="N16" s="83"/>
    </row>
    <row r="17" spans="1:14" ht="24" customHeight="1">
      <c r="A17" s="24"/>
      <c r="B17" s="25"/>
      <c r="C17" s="147" t="s">
        <v>6</v>
      </c>
      <c r="D17" s="123"/>
      <c r="E17" s="124"/>
      <c r="F17" s="26" t="s">
        <v>7</v>
      </c>
      <c r="G17" s="27"/>
      <c r="H17" s="28"/>
      <c r="I17" s="3"/>
      <c r="J17" s="86"/>
      <c r="K17" s="97">
        <v>0.04</v>
      </c>
      <c r="L17" s="83" t="s">
        <v>84</v>
      </c>
      <c r="M17" s="83"/>
      <c r="N17" s="83"/>
    </row>
    <row r="18" spans="1:14" ht="54" customHeight="1">
      <c r="A18" s="29"/>
      <c r="B18" s="30"/>
      <c r="C18" s="159" t="s">
        <v>63</v>
      </c>
      <c r="D18" s="132"/>
      <c r="E18" s="130"/>
      <c r="F18" s="31">
        <f>(K16*(1+K17))*K18</f>
        <v>99.221031000000011</v>
      </c>
      <c r="G18" s="18"/>
      <c r="H18" s="2"/>
      <c r="I18" s="3"/>
      <c r="K18" s="87">
        <v>1.4999999999999999E-2</v>
      </c>
      <c r="L18" s="73" t="s">
        <v>62</v>
      </c>
      <c r="M18" s="83"/>
      <c r="N18" s="83"/>
    </row>
    <row r="19" spans="1:14" ht="24" customHeight="1">
      <c r="A19" s="24"/>
      <c r="B19" s="25"/>
      <c r="C19" s="147" t="s">
        <v>9</v>
      </c>
      <c r="D19" s="123"/>
      <c r="E19" s="124"/>
      <c r="F19" s="26" t="s">
        <v>10</v>
      </c>
      <c r="G19" s="27"/>
      <c r="H19" s="28"/>
      <c r="I19" s="3"/>
      <c r="J19" s="88"/>
      <c r="K19" s="89"/>
      <c r="L19" s="90"/>
      <c r="M19" s="83"/>
      <c r="N19" s="83"/>
    </row>
    <row r="20" spans="1:14" ht="57" customHeight="1">
      <c r="A20" s="29"/>
      <c r="B20" s="30"/>
      <c r="C20" s="161" t="s">
        <v>11</v>
      </c>
      <c r="D20" s="123"/>
      <c r="E20" s="124"/>
      <c r="F20" s="31">
        <v>12</v>
      </c>
      <c r="G20" s="18"/>
      <c r="H20" s="32"/>
      <c r="I20" s="3"/>
      <c r="J20" s="91"/>
      <c r="K20" s="73"/>
      <c r="L20" s="73"/>
      <c r="M20" s="83"/>
      <c r="N20" s="83"/>
    </row>
    <row r="21" spans="1:14" ht="57" customHeight="1">
      <c r="A21" s="29"/>
      <c r="B21" s="30"/>
      <c r="C21" s="161" t="s">
        <v>65</v>
      </c>
      <c r="D21" s="123"/>
      <c r="E21" s="124"/>
      <c r="F21" s="31">
        <f>'Year 3'!F21*(1+K21)</f>
        <v>13104</v>
      </c>
      <c r="G21" s="18"/>
      <c r="H21" s="32"/>
      <c r="I21" s="3"/>
      <c r="J21" s="91"/>
      <c r="K21" s="98">
        <v>0.3</v>
      </c>
      <c r="L21" s="72" t="s">
        <v>85</v>
      </c>
    </row>
    <row r="22" spans="1:14" ht="39.75" customHeight="1">
      <c r="A22" s="33"/>
      <c r="B22" s="34"/>
      <c r="C22" s="162" t="s">
        <v>12</v>
      </c>
      <c r="D22" s="132"/>
      <c r="E22" s="130"/>
      <c r="F22" s="35">
        <f>F18*F20*F21</f>
        <v>15602308.682688</v>
      </c>
      <c r="G22" s="18"/>
      <c r="H22" s="2"/>
      <c r="I22" s="3"/>
      <c r="J22" s="91"/>
      <c r="K22" s="91"/>
      <c r="L22" s="72"/>
    </row>
    <row r="23" spans="1:14" ht="15.75" customHeight="1">
      <c r="A23" s="1"/>
      <c r="B23" s="36"/>
      <c r="C23" s="37"/>
      <c r="D23" s="37"/>
      <c r="E23" s="37"/>
      <c r="F23" s="37"/>
      <c r="G23" s="38"/>
      <c r="H23" s="2"/>
      <c r="I23" s="3"/>
      <c r="J23" s="92"/>
      <c r="K23" s="92"/>
      <c r="L23" s="72"/>
    </row>
    <row r="24" spans="1:14" ht="15.75" customHeight="1">
      <c r="A24" s="1"/>
      <c r="B24" s="1"/>
      <c r="H24" s="2"/>
      <c r="I24" s="3"/>
      <c r="J24" s="91"/>
      <c r="K24" s="91"/>
      <c r="L24" s="91"/>
    </row>
    <row r="25" spans="1:14" ht="15.75" customHeight="1">
      <c r="A25" s="1"/>
      <c r="B25" s="1"/>
      <c r="H25" s="2"/>
      <c r="I25" s="3"/>
      <c r="J25" s="93"/>
      <c r="K25" s="93"/>
      <c r="L25" s="86"/>
      <c r="M25" s="93"/>
    </row>
    <row r="26" spans="1:14" ht="15.75" customHeight="1">
      <c r="A26" s="1"/>
      <c r="B26" s="10"/>
      <c r="C26" s="11"/>
      <c r="D26" s="11"/>
      <c r="E26" s="11"/>
      <c r="F26" s="11"/>
      <c r="G26" s="12"/>
      <c r="H26" s="2"/>
      <c r="I26" s="3"/>
    </row>
    <row r="27" spans="1:14" ht="15.75" customHeight="1">
      <c r="A27" s="1"/>
      <c r="B27" s="17"/>
      <c r="C27" s="163" t="s">
        <v>13</v>
      </c>
      <c r="D27" s="123"/>
      <c r="E27" s="123"/>
      <c r="F27" s="124"/>
      <c r="G27" s="18"/>
      <c r="H27" s="2"/>
      <c r="I27" s="3"/>
    </row>
    <row r="28" spans="1:14" ht="15.75" customHeight="1">
      <c r="A28" s="1"/>
      <c r="B28" s="17"/>
      <c r="C28" s="1"/>
      <c r="D28" s="1"/>
      <c r="E28" s="1"/>
      <c r="F28" s="1"/>
      <c r="G28" s="18"/>
      <c r="H28" s="2"/>
      <c r="I28" s="3"/>
    </row>
    <row r="29" spans="1:14" ht="35.25" customHeight="1">
      <c r="A29" s="19"/>
      <c r="B29" s="20"/>
      <c r="C29" s="157" t="s">
        <v>14</v>
      </c>
      <c r="D29" s="151"/>
      <c r="E29" s="151"/>
      <c r="F29" s="152"/>
      <c r="G29" s="18"/>
      <c r="H29" s="2"/>
      <c r="I29" s="3"/>
    </row>
    <row r="30" spans="1:14" ht="45" customHeight="1">
      <c r="A30" s="22"/>
      <c r="B30" s="23"/>
      <c r="C30" s="153" t="s">
        <v>15</v>
      </c>
      <c r="D30" s="123"/>
      <c r="E30" s="123"/>
      <c r="F30" s="127"/>
      <c r="G30" s="18"/>
      <c r="H30" s="39"/>
      <c r="I30" s="3"/>
    </row>
    <row r="31" spans="1:14" ht="24" customHeight="1">
      <c r="A31" s="22"/>
      <c r="B31" s="23"/>
      <c r="C31" s="147" t="s">
        <v>16</v>
      </c>
      <c r="D31" s="124"/>
      <c r="E31" s="40" t="s">
        <v>17</v>
      </c>
      <c r="F31" s="26" t="s">
        <v>18</v>
      </c>
      <c r="G31" s="18"/>
      <c r="H31" s="39"/>
      <c r="I31" s="3"/>
    </row>
    <row r="32" spans="1:14" ht="72" customHeight="1">
      <c r="A32" s="22"/>
      <c r="B32" s="23"/>
      <c r="C32" s="159" t="s">
        <v>19</v>
      </c>
      <c r="D32" s="130"/>
      <c r="E32" s="41">
        <f>((125506*1.1)*1.1)*1.1</f>
        <v>167048.48600000003</v>
      </c>
      <c r="F32" s="42">
        <v>35</v>
      </c>
      <c r="G32" s="18"/>
      <c r="H32" s="39"/>
      <c r="I32" s="3"/>
      <c r="K32" s="75" t="s">
        <v>86</v>
      </c>
    </row>
    <row r="33" spans="1:9" ht="15.75" customHeight="1">
      <c r="A33" s="43"/>
      <c r="B33" s="44"/>
      <c r="C33" s="129" t="s">
        <v>20</v>
      </c>
      <c r="D33" s="130"/>
      <c r="E33" s="160">
        <f>SUMPRODUCT(E32, F32)</f>
        <v>5846697.0100000016</v>
      </c>
      <c r="F33" s="156"/>
      <c r="G33" s="18"/>
      <c r="H33" s="2"/>
      <c r="I33" s="3"/>
    </row>
    <row r="34" spans="1:9" ht="24" customHeight="1">
      <c r="A34" s="24"/>
      <c r="B34" s="25"/>
      <c r="C34" s="147" t="s">
        <v>21</v>
      </c>
      <c r="D34" s="123"/>
      <c r="E34" s="124"/>
      <c r="F34" s="26" t="s">
        <v>22</v>
      </c>
      <c r="G34" s="27"/>
      <c r="H34" s="28"/>
      <c r="I34" s="3"/>
    </row>
    <row r="35" spans="1:9" ht="30" customHeight="1">
      <c r="A35" s="29"/>
      <c r="B35" s="30"/>
      <c r="C35" s="158" t="s">
        <v>111</v>
      </c>
      <c r="D35" s="132"/>
      <c r="E35" s="130"/>
      <c r="F35" s="45">
        <v>0.33329999999999999</v>
      </c>
      <c r="G35" s="18"/>
      <c r="H35" s="2"/>
      <c r="I35" s="3"/>
    </row>
    <row r="36" spans="1:9" ht="15.75" customHeight="1" outlineLevel="1">
      <c r="A36" s="29"/>
      <c r="B36" s="30"/>
      <c r="C36" s="128" t="s">
        <v>112</v>
      </c>
      <c r="D36" s="123"/>
      <c r="E36" s="123"/>
      <c r="F36" s="127"/>
      <c r="G36" s="18"/>
      <c r="H36" s="2"/>
      <c r="I36" s="3"/>
    </row>
    <row r="37" spans="1:9" ht="15.75" customHeight="1">
      <c r="A37" s="24"/>
      <c r="B37" s="25"/>
      <c r="C37" s="147" t="s">
        <v>25</v>
      </c>
      <c r="D37" s="123"/>
      <c r="E37" s="124"/>
      <c r="F37" s="26" t="s">
        <v>22</v>
      </c>
      <c r="G37" s="27"/>
      <c r="H37" s="28"/>
      <c r="I37" s="3"/>
    </row>
    <row r="38" spans="1:9" ht="46.5" customHeight="1" collapsed="1">
      <c r="A38" s="29"/>
      <c r="B38" s="30"/>
      <c r="C38" s="126" t="s">
        <v>113</v>
      </c>
      <c r="D38" s="123"/>
      <c r="E38" s="124"/>
      <c r="F38" s="45">
        <v>0.3</v>
      </c>
      <c r="G38" s="18"/>
      <c r="H38" s="2"/>
      <c r="I38" s="3"/>
    </row>
    <row r="39" spans="1:9" ht="54" hidden="1" customHeight="1" outlineLevel="1">
      <c r="A39" s="29"/>
      <c r="B39" s="30"/>
      <c r="C39" s="128" t="s">
        <v>114</v>
      </c>
      <c r="D39" s="123"/>
      <c r="E39" s="123"/>
      <c r="F39" s="127"/>
      <c r="G39" s="18"/>
      <c r="H39" s="2"/>
      <c r="I39" s="3"/>
    </row>
    <row r="40" spans="1:9" ht="29.25" customHeight="1">
      <c r="A40" s="33"/>
      <c r="B40" s="34"/>
      <c r="C40" s="154" t="s">
        <v>28</v>
      </c>
      <c r="D40" s="130"/>
      <c r="E40" s="155">
        <f>E33 * (1 + F35 + F38)</f>
        <v>9549410.2264330033</v>
      </c>
      <c r="F40" s="156"/>
      <c r="G40" s="18"/>
      <c r="H40" s="2"/>
      <c r="I40" s="3"/>
    </row>
    <row r="41" spans="1:9" ht="15.75" customHeight="1">
      <c r="A41" s="1"/>
      <c r="B41" s="17"/>
      <c r="C41" s="46"/>
      <c r="D41" s="46"/>
      <c r="E41" s="46"/>
      <c r="F41" s="46"/>
      <c r="G41" s="18"/>
      <c r="H41" s="2"/>
      <c r="I41" s="3"/>
    </row>
    <row r="42" spans="1:9" ht="15.75" customHeight="1">
      <c r="A42" s="1"/>
      <c r="B42" s="17"/>
      <c r="C42" s="46"/>
      <c r="D42" s="46"/>
      <c r="E42" s="46"/>
      <c r="F42" s="46"/>
      <c r="G42" s="18"/>
      <c r="H42" s="2"/>
      <c r="I42" s="3"/>
    </row>
    <row r="43" spans="1:9" ht="36.75" customHeight="1">
      <c r="A43" s="19"/>
      <c r="B43" s="20"/>
      <c r="C43" s="157" t="s">
        <v>29</v>
      </c>
      <c r="D43" s="151"/>
      <c r="E43" s="151"/>
      <c r="F43" s="152"/>
      <c r="G43" s="18"/>
      <c r="H43" s="2"/>
      <c r="I43" s="3"/>
    </row>
    <row r="44" spans="1:9" ht="60" customHeight="1">
      <c r="A44" s="22"/>
      <c r="B44" s="23"/>
      <c r="C44" s="153" t="s">
        <v>30</v>
      </c>
      <c r="D44" s="123"/>
      <c r="E44" s="123"/>
      <c r="F44" s="127"/>
      <c r="G44" s="18"/>
      <c r="H44" s="2"/>
      <c r="I44" s="3"/>
    </row>
    <row r="45" spans="1:9" ht="18.75" customHeight="1">
      <c r="A45" s="24"/>
      <c r="B45" s="25"/>
      <c r="C45" s="147" t="s">
        <v>31</v>
      </c>
      <c r="D45" s="123"/>
      <c r="E45" s="124"/>
      <c r="F45" s="26" t="s">
        <v>7</v>
      </c>
      <c r="G45" s="18"/>
      <c r="H45" s="2"/>
      <c r="I45" s="3"/>
    </row>
    <row r="46" spans="1:9" ht="145.5" customHeight="1">
      <c r="A46" s="29"/>
      <c r="B46" s="30"/>
      <c r="C46" s="126" t="s">
        <v>115</v>
      </c>
      <c r="D46" s="123"/>
      <c r="E46" s="124"/>
      <c r="F46" s="47">
        <v>500000</v>
      </c>
      <c r="G46" s="18"/>
      <c r="H46" s="2"/>
      <c r="I46" s="3"/>
    </row>
    <row r="47" spans="1:9" ht="15.75" customHeight="1">
      <c r="A47" s="1"/>
      <c r="B47" s="17"/>
      <c r="C47" s="46"/>
      <c r="D47" s="46"/>
      <c r="E47" s="46"/>
      <c r="F47" s="46"/>
      <c r="G47" s="18"/>
      <c r="H47" s="2"/>
      <c r="I47" s="3"/>
    </row>
    <row r="48" spans="1:9" ht="15.75" customHeight="1">
      <c r="A48" s="1"/>
      <c r="B48" s="17"/>
      <c r="C48" s="46"/>
      <c r="D48" s="46"/>
      <c r="E48" s="46"/>
      <c r="F48" s="46"/>
      <c r="G48" s="18"/>
      <c r="H48" s="2"/>
      <c r="I48" s="3"/>
    </row>
    <row r="49" spans="1:9" ht="36.75" customHeight="1">
      <c r="A49" s="19"/>
      <c r="B49" s="20"/>
      <c r="C49" s="150" t="s">
        <v>116</v>
      </c>
      <c r="D49" s="151"/>
      <c r="E49" s="151"/>
      <c r="F49" s="152"/>
      <c r="G49" s="18"/>
      <c r="H49" s="2"/>
      <c r="I49" s="3"/>
    </row>
    <row r="50" spans="1:9" ht="45" customHeight="1">
      <c r="A50" s="48"/>
      <c r="B50" s="49"/>
      <c r="C50" s="153" t="s">
        <v>34</v>
      </c>
      <c r="D50" s="123"/>
      <c r="E50" s="123"/>
      <c r="F50" s="127"/>
      <c r="G50" s="18"/>
      <c r="H50" s="2"/>
      <c r="I50" s="3"/>
    </row>
    <row r="51" spans="1:9" ht="24" customHeight="1">
      <c r="A51" s="24"/>
      <c r="B51" s="25"/>
      <c r="C51" s="147" t="s">
        <v>35</v>
      </c>
      <c r="D51" s="123"/>
      <c r="E51" s="124"/>
      <c r="F51" s="26" t="s">
        <v>7</v>
      </c>
      <c r="G51" s="18"/>
      <c r="H51" s="2"/>
      <c r="I51" s="3"/>
    </row>
    <row r="52" spans="1:9" ht="78.75" customHeight="1">
      <c r="A52" s="50"/>
      <c r="B52" s="51"/>
      <c r="C52" s="145" t="s">
        <v>117</v>
      </c>
      <c r="D52" s="132"/>
      <c r="E52" s="130"/>
      <c r="F52" s="47">
        <v>5000</v>
      </c>
      <c r="G52" s="18"/>
      <c r="H52" s="2"/>
      <c r="I52" s="3"/>
    </row>
    <row r="53" spans="1:9" ht="81" hidden="1" customHeight="1" outlineLevel="1">
      <c r="A53" s="50"/>
      <c r="B53" s="51"/>
      <c r="C53" s="146" t="s">
        <v>118</v>
      </c>
      <c r="D53" s="123"/>
      <c r="E53" s="123"/>
      <c r="F53" s="127"/>
      <c r="G53" s="18"/>
      <c r="H53" s="2"/>
      <c r="I53" s="3"/>
    </row>
    <row r="54" spans="1:9" ht="54.75" customHeight="1" outlineLevel="1">
      <c r="A54" s="50"/>
      <c r="B54" s="51"/>
      <c r="C54" s="146" t="s">
        <v>119</v>
      </c>
      <c r="D54" s="123"/>
      <c r="E54" s="123"/>
      <c r="F54" s="127"/>
      <c r="G54" s="18"/>
      <c r="H54" s="2"/>
      <c r="I54" s="3"/>
    </row>
    <row r="55" spans="1:9" ht="24" customHeight="1">
      <c r="A55" s="24"/>
      <c r="B55" s="25"/>
      <c r="C55" s="147" t="s">
        <v>39</v>
      </c>
      <c r="D55" s="123"/>
      <c r="E55" s="124"/>
      <c r="F55" s="26"/>
      <c r="G55" s="18"/>
      <c r="H55" s="2"/>
      <c r="I55" s="3"/>
    </row>
    <row r="56" spans="1:9" ht="15.75" customHeight="1" collapsed="1">
      <c r="A56" s="29"/>
      <c r="B56" s="30"/>
      <c r="C56" s="126" t="s">
        <v>120</v>
      </c>
      <c r="D56" s="123"/>
      <c r="E56" s="123"/>
      <c r="F56" s="127"/>
      <c r="G56" s="18"/>
      <c r="H56" s="2"/>
      <c r="I56" s="3"/>
    </row>
    <row r="57" spans="1:9" ht="58.5" hidden="1" customHeight="1" outlineLevel="1">
      <c r="A57" s="50"/>
      <c r="B57" s="51"/>
      <c r="C57" s="128" t="s">
        <v>41</v>
      </c>
      <c r="D57" s="123"/>
      <c r="E57" s="123"/>
      <c r="F57" s="127"/>
      <c r="G57" s="18"/>
      <c r="H57" s="2"/>
      <c r="I57" s="3"/>
    </row>
    <row r="58" spans="1:9" ht="24" customHeight="1">
      <c r="A58" s="24"/>
      <c r="B58" s="25"/>
      <c r="C58" s="52" t="s">
        <v>42</v>
      </c>
      <c r="D58" s="40" t="s">
        <v>43</v>
      </c>
      <c r="E58" s="40" t="s">
        <v>44</v>
      </c>
      <c r="F58" s="26" t="s">
        <v>45</v>
      </c>
      <c r="G58" s="18"/>
      <c r="H58" s="2"/>
      <c r="I58" s="3"/>
    </row>
    <row r="59" spans="1:9" ht="24" customHeight="1">
      <c r="A59" s="24"/>
      <c r="B59" s="25"/>
      <c r="C59" s="53" t="s">
        <v>97</v>
      </c>
      <c r="D59" s="54">
        <v>1299</v>
      </c>
      <c r="E59" s="55">
        <v>2</v>
      </c>
      <c r="F59" s="56">
        <f t="shared" ref="F59:F65" si="0">D59*E59</f>
        <v>2598</v>
      </c>
      <c r="G59" s="18"/>
      <c r="H59" s="2"/>
      <c r="I59" s="3"/>
    </row>
    <row r="60" spans="1:9" ht="24" customHeight="1">
      <c r="A60" s="24"/>
      <c r="B60" s="25"/>
      <c r="C60" s="53" t="s">
        <v>77</v>
      </c>
      <c r="D60" s="54">
        <v>29</v>
      </c>
      <c r="E60" s="55">
        <v>850000</v>
      </c>
      <c r="F60" s="57">
        <f t="shared" si="0"/>
        <v>24650000</v>
      </c>
      <c r="G60" s="18"/>
      <c r="H60" s="2"/>
      <c r="I60" s="3"/>
    </row>
    <row r="61" spans="1:9" ht="24" customHeight="1">
      <c r="A61" s="24"/>
      <c r="B61" s="25"/>
      <c r="C61" s="58" t="s">
        <v>78</v>
      </c>
      <c r="D61" s="59">
        <v>700</v>
      </c>
      <c r="E61" s="60">
        <v>2</v>
      </c>
      <c r="F61" s="57">
        <f t="shared" si="0"/>
        <v>1400</v>
      </c>
      <c r="G61" s="18"/>
      <c r="H61" s="2"/>
      <c r="I61" s="3"/>
    </row>
    <row r="62" spans="1:9" ht="24" customHeight="1">
      <c r="A62" s="24"/>
      <c r="B62" s="25"/>
      <c r="C62" s="58" t="s">
        <v>81</v>
      </c>
      <c r="D62" s="59">
        <v>1500</v>
      </c>
      <c r="E62" s="60">
        <v>6</v>
      </c>
      <c r="F62" s="57">
        <f t="shared" si="0"/>
        <v>9000</v>
      </c>
      <c r="G62" s="18"/>
      <c r="H62" s="2"/>
      <c r="I62" s="3"/>
    </row>
    <row r="63" spans="1:9" ht="24" customHeight="1">
      <c r="A63" s="24"/>
      <c r="B63" s="25"/>
      <c r="C63" s="58" t="s">
        <v>80</v>
      </c>
      <c r="D63" s="59">
        <v>65000</v>
      </c>
      <c r="E63" s="60">
        <v>6</v>
      </c>
      <c r="F63" s="57">
        <f t="shared" si="0"/>
        <v>390000</v>
      </c>
      <c r="G63" s="18"/>
      <c r="H63" s="2"/>
      <c r="I63" s="3"/>
    </row>
    <row r="64" spans="1:9" ht="24" customHeight="1">
      <c r="A64" s="24"/>
      <c r="B64" s="25"/>
      <c r="C64" s="99" t="s">
        <v>98</v>
      </c>
      <c r="D64" s="59">
        <f>0.35*F22</f>
        <v>5460808.0389407994</v>
      </c>
      <c r="E64" s="60">
        <v>1</v>
      </c>
      <c r="F64" s="57">
        <f t="shared" si="0"/>
        <v>5460808.0389407994</v>
      </c>
      <c r="G64" s="18"/>
      <c r="H64" s="2"/>
      <c r="I64" s="3"/>
    </row>
    <row r="65" spans="1:13" ht="24" customHeight="1">
      <c r="A65" s="24"/>
      <c r="B65" s="25"/>
      <c r="C65" s="61"/>
      <c r="D65" s="62"/>
      <c r="E65" s="63"/>
      <c r="F65" s="64">
        <f t="shared" si="0"/>
        <v>0</v>
      </c>
      <c r="G65" s="18"/>
      <c r="H65" s="2"/>
      <c r="I65" s="3"/>
    </row>
    <row r="66" spans="1:13" ht="24" customHeight="1">
      <c r="A66" s="24"/>
      <c r="B66" s="25"/>
      <c r="C66" s="129" t="s">
        <v>46</v>
      </c>
      <c r="D66" s="130"/>
      <c r="E66" s="65"/>
      <c r="F66" s="66">
        <f>SUM(F59:F65)</f>
        <v>30513806.038940798</v>
      </c>
      <c r="G66" s="18"/>
      <c r="H66" s="2"/>
      <c r="I66" s="3"/>
    </row>
    <row r="67" spans="1:13" ht="63.75" customHeight="1">
      <c r="A67" s="33"/>
      <c r="B67" s="34"/>
      <c r="C67" s="131" t="s">
        <v>47</v>
      </c>
      <c r="D67" s="132"/>
      <c r="E67" s="130"/>
      <c r="F67" s="67">
        <f>F66+F52+F46+E40</f>
        <v>40568216.265373804</v>
      </c>
      <c r="G67" s="18"/>
      <c r="H67" s="2"/>
      <c r="I67" s="3"/>
    </row>
    <row r="68" spans="1:13" ht="15.75" customHeight="1">
      <c r="A68" s="1"/>
      <c r="B68" s="36"/>
      <c r="C68" s="37"/>
      <c r="D68" s="37"/>
      <c r="E68" s="37"/>
      <c r="F68" s="37"/>
      <c r="G68" s="38"/>
      <c r="H68" s="2"/>
      <c r="I68" s="3"/>
      <c r="L68" s="94"/>
    </row>
    <row r="69" spans="1:13" ht="15.75" customHeight="1">
      <c r="A69" s="1"/>
      <c r="B69" s="1"/>
      <c r="H69" s="2"/>
      <c r="I69" s="3"/>
    </row>
    <row r="70" spans="1:13" ht="15.75" customHeight="1">
      <c r="A70" s="1"/>
      <c r="B70" s="1"/>
      <c r="H70" s="2"/>
      <c r="I70" s="3"/>
    </row>
    <row r="71" spans="1:13" ht="15.75" customHeight="1">
      <c r="A71" s="1"/>
      <c r="B71" s="10"/>
      <c r="C71" s="11"/>
      <c r="D71" s="11"/>
      <c r="E71" s="11"/>
      <c r="F71" s="11"/>
      <c r="G71" s="12"/>
      <c r="H71" s="2"/>
      <c r="I71" s="3"/>
    </row>
    <row r="72" spans="1:13" ht="15.75" customHeight="1">
      <c r="A72" s="1"/>
      <c r="B72" s="17"/>
      <c r="C72" s="133" t="s">
        <v>48</v>
      </c>
      <c r="D72" s="123"/>
      <c r="E72" s="123"/>
      <c r="F72" s="124"/>
      <c r="G72" s="18"/>
      <c r="H72" s="2"/>
      <c r="I72" s="3"/>
    </row>
    <row r="73" spans="1:13" ht="15.75" customHeight="1">
      <c r="A73" s="1"/>
      <c r="B73" s="17"/>
      <c r="C73" s="134" t="s">
        <v>121</v>
      </c>
      <c r="D73" s="135"/>
      <c r="E73" s="135"/>
      <c r="F73" s="136"/>
      <c r="G73" s="18"/>
      <c r="H73" s="2"/>
      <c r="I73" s="3"/>
    </row>
    <row r="74" spans="1:13" ht="15.75" customHeight="1">
      <c r="A74" s="1"/>
      <c r="B74" s="17"/>
      <c r="C74" s="137"/>
      <c r="D74" s="138"/>
      <c r="E74" s="138"/>
      <c r="F74" s="139"/>
      <c r="G74" s="18"/>
      <c r="H74" s="2"/>
      <c r="I74" s="3"/>
    </row>
    <row r="75" spans="1:13" ht="15.75" customHeight="1">
      <c r="A75" s="1"/>
      <c r="B75" s="17"/>
      <c r="C75" s="137"/>
      <c r="D75" s="138"/>
      <c r="E75" s="138"/>
      <c r="F75" s="139"/>
      <c r="G75" s="18"/>
      <c r="H75" s="2"/>
      <c r="I75" s="3"/>
    </row>
    <row r="76" spans="1:13" ht="15.75" customHeight="1">
      <c r="A76" s="1"/>
      <c r="B76" s="17"/>
      <c r="C76" s="140"/>
      <c r="D76" s="141"/>
      <c r="E76" s="141"/>
      <c r="F76" s="142"/>
      <c r="G76" s="18"/>
      <c r="H76" s="2"/>
      <c r="I76" s="3"/>
    </row>
    <row r="77" spans="1:13" ht="36" customHeight="1">
      <c r="A77" s="13"/>
      <c r="B77" s="14"/>
      <c r="C77" s="68" t="s">
        <v>50</v>
      </c>
      <c r="D77" s="143" t="s">
        <v>51</v>
      </c>
      <c r="E77" s="144"/>
      <c r="F77" s="69" t="s">
        <v>52</v>
      </c>
      <c r="G77" s="15"/>
      <c r="H77" s="16"/>
      <c r="I77" s="3"/>
    </row>
    <row r="78" spans="1:13" ht="36" customHeight="1">
      <c r="A78" s="13"/>
      <c r="B78" s="14"/>
      <c r="C78" s="95">
        <f>F67/F22</f>
        <v>2.6001418822323044</v>
      </c>
      <c r="D78" s="148">
        <f>C78/12</f>
        <v>0.21667849018602536</v>
      </c>
      <c r="E78" s="149"/>
      <c r="F78" s="71">
        <f>D78/30.5</f>
        <v>7.104212792984438E-3</v>
      </c>
      <c r="G78" s="15"/>
      <c r="H78" s="16"/>
      <c r="I78" s="3"/>
    </row>
    <row r="79" spans="1:13" ht="21" customHeight="1">
      <c r="A79" s="1"/>
      <c r="B79" s="17"/>
      <c r="C79" s="1"/>
      <c r="D79" s="1"/>
      <c r="E79" s="1"/>
      <c r="F79" s="1"/>
      <c r="G79" s="18"/>
      <c r="H79" s="2"/>
      <c r="I79" s="3"/>
    </row>
    <row r="80" spans="1:13" ht="31.5" customHeight="1">
      <c r="A80" s="1"/>
      <c r="B80" s="17"/>
      <c r="C80" s="122" t="s">
        <v>53</v>
      </c>
      <c r="D80" s="123"/>
      <c r="E80" s="123"/>
      <c r="F80" s="124"/>
      <c r="G80" s="18"/>
      <c r="H80" s="2"/>
      <c r="I80" s="3"/>
      <c r="M80" s="96"/>
    </row>
    <row r="81" spans="1:9" ht="15.75" customHeight="1">
      <c r="A81" s="1"/>
      <c r="B81" s="17"/>
      <c r="C81" s="125" t="s">
        <v>54</v>
      </c>
      <c r="D81" s="123"/>
      <c r="E81" s="123"/>
      <c r="F81" s="124"/>
      <c r="G81" s="18"/>
      <c r="H81" s="2"/>
      <c r="I81" s="3"/>
    </row>
    <row r="82" spans="1:9" ht="24.75" customHeight="1">
      <c r="A82" s="1"/>
      <c r="B82" s="36"/>
      <c r="C82" s="37"/>
      <c r="D82" s="37"/>
      <c r="E82" s="37"/>
      <c r="F82" s="37"/>
      <c r="G82" s="38"/>
      <c r="H82" s="2"/>
      <c r="I82" s="3"/>
    </row>
    <row r="83" spans="1:9" ht="15.75" customHeight="1">
      <c r="A83" s="1"/>
      <c r="B83" s="1"/>
      <c r="H83" s="2"/>
      <c r="I83" s="3"/>
    </row>
    <row r="84" spans="1:9" ht="15.75" customHeight="1">
      <c r="A84" s="1"/>
      <c r="B84" s="1"/>
      <c r="H84" s="2"/>
      <c r="I84" s="3"/>
    </row>
    <row r="85" spans="1:9" ht="15.75" customHeight="1">
      <c r="A85" s="1"/>
      <c r="B85" s="1"/>
      <c r="H85" s="2"/>
      <c r="I85" s="3"/>
    </row>
    <row r="86" spans="1:9" ht="15.75" customHeight="1">
      <c r="A86" s="1"/>
      <c r="B86" s="1"/>
      <c r="H86" s="2"/>
      <c r="I86" s="3"/>
    </row>
    <row r="87" spans="1:9" ht="15.75" customHeight="1">
      <c r="A87" s="1"/>
      <c r="B87" s="1"/>
      <c r="H87" s="2"/>
      <c r="I87" s="3"/>
    </row>
    <row r="88" spans="1:9" ht="15.75" customHeight="1">
      <c r="A88" s="1"/>
      <c r="B88" s="1"/>
      <c r="H88" s="2"/>
      <c r="I88" s="3"/>
    </row>
    <row r="89" spans="1:9" ht="15.75" customHeight="1">
      <c r="A89" s="1"/>
      <c r="B89" s="1"/>
      <c r="H89" s="2"/>
      <c r="I89" s="3"/>
    </row>
    <row r="90" spans="1:9" ht="15.75" customHeight="1">
      <c r="A90" s="1"/>
      <c r="B90" s="1"/>
      <c r="H90" s="2"/>
      <c r="I90" s="3"/>
    </row>
    <row r="91" spans="1:9" ht="15.75" customHeight="1">
      <c r="A91" s="1"/>
      <c r="B91" s="1"/>
      <c r="H91" s="2"/>
      <c r="I91" s="3"/>
    </row>
    <row r="92" spans="1:9" ht="15.75" customHeight="1"/>
    <row r="93" spans="1:9" ht="15.75" customHeight="1"/>
    <row r="94" spans="1:9" ht="15.75" customHeight="1"/>
    <row r="95" spans="1:9" ht="15.75" customHeight="1"/>
    <row r="96" spans="1:9"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6">
    <mergeCell ref="C9:F9"/>
    <mergeCell ref="C13:F13"/>
    <mergeCell ref="C15:F15"/>
    <mergeCell ref="C16:F16"/>
    <mergeCell ref="C17:E17"/>
    <mergeCell ref="C18:E18"/>
    <mergeCell ref="C19:E19"/>
    <mergeCell ref="C20:E20"/>
    <mergeCell ref="C21:E21"/>
    <mergeCell ref="C22:E22"/>
    <mergeCell ref="C27:F27"/>
    <mergeCell ref="C29:F29"/>
    <mergeCell ref="C30:F30"/>
    <mergeCell ref="C31:D31"/>
    <mergeCell ref="C32:D32"/>
    <mergeCell ref="C33:D33"/>
    <mergeCell ref="E33:F33"/>
    <mergeCell ref="C34:E34"/>
    <mergeCell ref="C35:E35"/>
    <mergeCell ref="C36:F36"/>
    <mergeCell ref="C37:E37"/>
    <mergeCell ref="C38:E38"/>
    <mergeCell ref="C39:F39"/>
    <mergeCell ref="C40:D40"/>
    <mergeCell ref="E40:F40"/>
    <mergeCell ref="C43:F43"/>
    <mergeCell ref="C44:F44"/>
    <mergeCell ref="C45:E45"/>
    <mergeCell ref="C46:E46"/>
    <mergeCell ref="C49:F49"/>
    <mergeCell ref="C50:F50"/>
    <mergeCell ref="C51:E51"/>
    <mergeCell ref="C52:E52"/>
    <mergeCell ref="C53:F53"/>
    <mergeCell ref="C54:F54"/>
    <mergeCell ref="D77:E77"/>
    <mergeCell ref="D78:E78"/>
    <mergeCell ref="C80:F80"/>
    <mergeCell ref="C81:F81"/>
    <mergeCell ref="C55:E55"/>
    <mergeCell ref="C56:F56"/>
    <mergeCell ref="C57:F57"/>
    <mergeCell ref="C66:D66"/>
    <mergeCell ref="C67:E67"/>
    <mergeCell ref="C72:F72"/>
    <mergeCell ref="C73:F76"/>
  </mergeCells>
  <pageMargins left="0.7" right="0.7" top="0.75" bottom="0.75" header="0" footer="0"/>
  <pageSetup orientation="portrait"/>
  <drawing r:id="rId1"/>
  <tableParts count="5">
    <tablePart r:id="rId2"/>
    <tablePart r:id="rId3"/>
    <tablePart r:id="rId4"/>
    <tablePart r:id="rId5"/>
    <tablePart r:id="rId6"/>
  </tableParts>
  <extLst>
    <ext xmlns:x14="http://schemas.microsoft.com/office/spreadsheetml/2009/9/main" uri="{CCE6A557-97BC-4b89-ADB6-D9C93CAAB3DF}">
      <x14:dataValidations xmlns:xm="http://schemas.microsoft.com/office/excel/2006/main" count="1">
        <x14:dataValidation type="list" allowBlank="1" showInputMessage="1" prompt="Feel free to customize this number." xr:uid="{00000000-0002-0000-0500-000000000000}">
          <x14:formula1>
            <xm:f>Variables!$A$2:$A$5</xm:f>
          </x14:formula1>
          <xm:sqref>F46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001"/>
  <sheetViews>
    <sheetView showGridLines="0" workbookViewId="0"/>
  </sheetViews>
  <sheetFormatPr baseColWidth="10" defaultColWidth="12.6640625" defaultRowHeight="15" customHeight="1" outlineLevelRow="1"/>
  <cols>
    <col min="1" max="1" width="0.6640625" customWidth="1"/>
    <col min="2" max="2" width="2" customWidth="1"/>
    <col min="3" max="3" width="32.83203125" customWidth="1"/>
    <col min="4" max="5" width="14.5" customWidth="1"/>
    <col min="6" max="6" width="29.1640625" customWidth="1"/>
    <col min="7" max="7" width="2" customWidth="1"/>
    <col min="8" max="9" width="1.33203125" customWidth="1"/>
    <col min="10" max="10" width="4" customWidth="1"/>
    <col min="11" max="13" width="14.5" customWidth="1"/>
    <col min="14" max="14" width="22.33203125" customWidth="1"/>
    <col min="15" max="27" width="14.5" customWidth="1"/>
  </cols>
  <sheetData>
    <row r="1" spans="1:14" ht="15.75" customHeight="1">
      <c r="A1" s="1"/>
      <c r="B1" s="1"/>
      <c r="H1" s="2"/>
      <c r="I1" s="3"/>
    </row>
    <row r="2" spans="1:14" ht="15.75" customHeight="1">
      <c r="A2" s="1"/>
      <c r="B2" s="1"/>
      <c r="H2" s="2"/>
      <c r="I2" s="3"/>
    </row>
    <row r="3" spans="1:14" ht="15.75" customHeight="1">
      <c r="A3" s="1"/>
      <c r="B3" s="1"/>
      <c r="H3" s="2"/>
      <c r="I3" s="3"/>
    </row>
    <row r="4" spans="1:14" ht="15.75" customHeight="1">
      <c r="A4" s="1"/>
      <c r="C4" s="4" t="s">
        <v>0</v>
      </c>
      <c r="D4" s="4"/>
      <c r="E4" s="4"/>
      <c r="F4" s="4"/>
      <c r="G4" s="4"/>
      <c r="H4" s="2"/>
      <c r="I4" s="3"/>
    </row>
    <row r="5" spans="1:14" ht="15.75" customHeight="1">
      <c r="A5" s="1"/>
      <c r="B5" s="4"/>
      <c r="C5" s="5" t="s">
        <v>1</v>
      </c>
      <c r="D5" s="4"/>
      <c r="E5" s="4"/>
      <c r="F5" s="4"/>
      <c r="G5" s="4"/>
      <c r="H5" s="2"/>
      <c r="I5" s="3"/>
    </row>
    <row r="6" spans="1:14" ht="15.75" customHeight="1">
      <c r="A6" s="1"/>
      <c r="C6" s="5"/>
      <c r="D6" s="5"/>
      <c r="E6" s="5"/>
      <c r="F6" s="5"/>
      <c r="G6" s="5"/>
      <c r="H6" s="2"/>
      <c r="I6" s="3"/>
    </row>
    <row r="7" spans="1:14" ht="15.75" customHeight="1">
      <c r="A7" s="1"/>
      <c r="B7" s="1"/>
      <c r="H7" s="2"/>
      <c r="I7" s="3"/>
    </row>
    <row r="8" spans="1:14" ht="15.75" customHeight="1">
      <c r="A8" s="1"/>
      <c r="B8" s="1"/>
      <c r="C8" s="6"/>
      <c r="D8" s="6"/>
      <c r="E8" s="6"/>
      <c r="F8" s="6"/>
      <c r="H8" s="2"/>
      <c r="I8" s="3"/>
    </row>
    <row r="9" spans="1:14" ht="78.75" customHeight="1">
      <c r="A9" s="7"/>
      <c r="B9" s="8"/>
      <c r="C9" s="164" t="s">
        <v>2</v>
      </c>
      <c r="D9" s="123"/>
      <c r="E9" s="123"/>
      <c r="F9" s="124"/>
      <c r="G9" s="9"/>
      <c r="H9" s="2"/>
      <c r="I9" s="3"/>
    </row>
    <row r="10" spans="1:14" ht="15.75" customHeight="1">
      <c r="A10" s="1"/>
      <c r="B10" s="1"/>
      <c r="H10" s="2"/>
      <c r="I10" s="3"/>
    </row>
    <row r="11" spans="1:14" ht="15.75" customHeight="1">
      <c r="A11" s="1"/>
      <c r="B11" s="1"/>
      <c r="H11" s="2"/>
      <c r="I11" s="3"/>
    </row>
    <row r="12" spans="1:14" ht="15.75" customHeight="1">
      <c r="A12" s="1"/>
      <c r="B12" s="10"/>
      <c r="C12" s="11"/>
      <c r="D12" s="11"/>
      <c r="E12" s="11"/>
      <c r="F12" s="11"/>
      <c r="G12" s="12"/>
      <c r="H12" s="2"/>
      <c r="I12" s="3"/>
    </row>
    <row r="13" spans="1:14" ht="36" customHeight="1">
      <c r="A13" s="13"/>
      <c r="B13" s="14"/>
      <c r="C13" s="165" t="s">
        <v>3</v>
      </c>
      <c r="D13" s="123"/>
      <c r="E13" s="123"/>
      <c r="F13" s="124"/>
      <c r="G13" s="15"/>
      <c r="H13" s="16"/>
      <c r="I13" s="3"/>
    </row>
    <row r="14" spans="1:14" ht="15.75" customHeight="1">
      <c r="A14" s="1"/>
      <c r="B14" s="17"/>
      <c r="C14" s="1"/>
      <c r="D14" s="1"/>
      <c r="E14" s="1"/>
      <c r="F14" s="1"/>
      <c r="G14" s="18"/>
      <c r="H14" s="2"/>
      <c r="I14" s="3"/>
    </row>
    <row r="15" spans="1:14" ht="36.75" customHeight="1">
      <c r="A15" s="19"/>
      <c r="B15" s="20"/>
      <c r="C15" s="157" t="s">
        <v>4</v>
      </c>
      <c r="D15" s="151"/>
      <c r="E15" s="151"/>
      <c r="F15" s="152"/>
      <c r="G15" s="21"/>
      <c r="H15" s="2"/>
      <c r="I15" s="3"/>
    </row>
    <row r="16" spans="1:14" ht="60" customHeight="1">
      <c r="A16" s="22"/>
      <c r="B16" s="23"/>
      <c r="C16" s="153" t="s">
        <v>5</v>
      </c>
      <c r="D16" s="123"/>
      <c r="E16" s="123"/>
      <c r="F16" s="127"/>
      <c r="G16" s="18"/>
      <c r="H16" s="2"/>
      <c r="I16" s="3"/>
      <c r="J16" s="72"/>
      <c r="K16" s="85">
        <f>5769*(1+'Year 2'!K17)*(1+'Year 3'!K17)*(1+'Year 4'!K17)</f>
        <v>6614.7354000000005</v>
      </c>
      <c r="L16" s="73" t="s">
        <v>122</v>
      </c>
      <c r="M16" s="83"/>
      <c r="N16" s="83"/>
    </row>
    <row r="17" spans="1:14" ht="24" customHeight="1">
      <c r="A17" s="24"/>
      <c r="B17" s="25"/>
      <c r="C17" s="147" t="s">
        <v>6</v>
      </c>
      <c r="D17" s="123"/>
      <c r="E17" s="124"/>
      <c r="F17" s="26" t="s">
        <v>7</v>
      </c>
      <c r="G17" s="27"/>
      <c r="H17" s="28"/>
      <c r="I17" s="3"/>
      <c r="J17" s="86"/>
      <c r="K17" s="97">
        <v>0.03</v>
      </c>
      <c r="L17" s="83" t="s">
        <v>84</v>
      </c>
      <c r="M17" s="83"/>
      <c r="N17" s="83"/>
    </row>
    <row r="18" spans="1:14" ht="54" customHeight="1">
      <c r="A18" s="29"/>
      <c r="B18" s="30"/>
      <c r="C18" s="159" t="s">
        <v>63</v>
      </c>
      <c r="D18" s="132"/>
      <c r="E18" s="130"/>
      <c r="F18" s="31">
        <f>(K16*(1+K17))*K18</f>
        <v>102.19766193000001</v>
      </c>
      <c r="G18" s="18"/>
      <c r="H18" s="2"/>
      <c r="I18" s="3"/>
      <c r="K18" s="87">
        <v>1.4999999999999999E-2</v>
      </c>
      <c r="L18" s="73" t="s">
        <v>62</v>
      </c>
      <c r="M18" s="83"/>
      <c r="N18" s="83"/>
    </row>
    <row r="19" spans="1:14" ht="24" customHeight="1">
      <c r="A19" s="24"/>
      <c r="B19" s="25"/>
      <c r="C19" s="147" t="s">
        <v>9</v>
      </c>
      <c r="D19" s="123"/>
      <c r="E19" s="124"/>
      <c r="F19" s="26" t="s">
        <v>10</v>
      </c>
      <c r="G19" s="27"/>
      <c r="H19" s="28"/>
      <c r="I19" s="3"/>
      <c r="J19" s="88"/>
      <c r="K19" s="89"/>
      <c r="L19" s="90"/>
      <c r="M19" s="83"/>
      <c r="N19" s="83"/>
    </row>
    <row r="20" spans="1:14" ht="57" customHeight="1">
      <c r="A20" s="29"/>
      <c r="B20" s="30"/>
      <c r="C20" s="161" t="s">
        <v>11</v>
      </c>
      <c r="D20" s="123"/>
      <c r="E20" s="124"/>
      <c r="F20" s="31">
        <v>12</v>
      </c>
      <c r="G20" s="18"/>
      <c r="H20" s="32"/>
      <c r="I20" s="3"/>
      <c r="J20" s="91"/>
      <c r="K20" s="73"/>
      <c r="L20" s="73"/>
      <c r="M20" s="83"/>
      <c r="N20" s="83"/>
    </row>
    <row r="21" spans="1:14" ht="57" customHeight="1">
      <c r="A21" s="29"/>
      <c r="B21" s="30"/>
      <c r="C21" s="161" t="s">
        <v>65</v>
      </c>
      <c r="D21" s="123"/>
      <c r="E21" s="124"/>
      <c r="F21" s="31">
        <f>'Year 4'!F21*(1+K21)</f>
        <v>17690.400000000001</v>
      </c>
      <c r="G21" s="18"/>
      <c r="H21" s="32"/>
      <c r="I21" s="3"/>
      <c r="J21" s="91"/>
      <c r="K21" s="98">
        <v>0.35</v>
      </c>
      <c r="L21" s="72" t="s">
        <v>85</v>
      </c>
    </row>
    <row r="22" spans="1:14" ht="39.75" customHeight="1">
      <c r="A22" s="33"/>
      <c r="B22" s="34"/>
      <c r="C22" s="162" t="s">
        <v>12</v>
      </c>
      <c r="D22" s="132"/>
      <c r="E22" s="130"/>
      <c r="F22" s="35">
        <f>F18*F20*F21</f>
        <v>21695010.223277669</v>
      </c>
      <c r="G22" s="18"/>
      <c r="H22" s="2"/>
      <c r="I22" s="3"/>
      <c r="J22" s="91"/>
      <c r="K22" s="91"/>
      <c r="L22" s="72"/>
    </row>
    <row r="23" spans="1:14" ht="15.75" customHeight="1">
      <c r="A23" s="1"/>
      <c r="B23" s="36"/>
      <c r="C23" s="37"/>
      <c r="D23" s="37"/>
      <c r="E23" s="37"/>
      <c r="F23" s="37"/>
      <c r="G23" s="38"/>
      <c r="H23" s="2"/>
      <c r="I23" s="3"/>
      <c r="J23" s="92"/>
      <c r="K23" s="92"/>
      <c r="L23" s="72"/>
    </row>
    <row r="24" spans="1:14" ht="15.75" customHeight="1">
      <c r="A24" s="1"/>
      <c r="B24" s="1"/>
      <c r="H24" s="2"/>
      <c r="I24" s="3"/>
      <c r="J24" s="91"/>
      <c r="K24" s="91"/>
      <c r="L24" s="91"/>
    </row>
    <row r="25" spans="1:14" ht="15.75" customHeight="1">
      <c r="A25" s="1"/>
      <c r="B25" s="1"/>
      <c r="H25" s="2"/>
      <c r="I25" s="3"/>
      <c r="J25" s="93"/>
      <c r="K25" s="93"/>
      <c r="L25" s="86"/>
      <c r="M25" s="93"/>
    </row>
    <row r="26" spans="1:14" ht="15.75" customHeight="1">
      <c r="A26" s="1"/>
      <c r="B26" s="10"/>
      <c r="C26" s="11"/>
      <c r="D26" s="11"/>
      <c r="E26" s="11"/>
      <c r="F26" s="11"/>
      <c r="G26" s="12"/>
      <c r="H26" s="2"/>
      <c r="I26" s="3"/>
    </row>
    <row r="27" spans="1:14" ht="15.75" customHeight="1">
      <c r="A27" s="1"/>
      <c r="B27" s="17"/>
      <c r="C27" s="163" t="s">
        <v>13</v>
      </c>
      <c r="D27" s="123"/>
      <c r="E27" s="123"/>
      <c r="F27" s="124"/>
      <c r="G27" s="18"/>
      <c r="H27" s="2"/>
      <c r="I27" s="3"/>
    </row>
    <row r="28" spans="1:14" ht="15.75" customHeight="1">
      <c r="A28" s="1"/>
      <c r="B28" s="17"/>
      <c r="C28" s="1"/>
      <c r="D28" s="1"/>
      <c r="E28" s="1"/>
      <c r="F28" s="1"/>
      <c r="G28" s="18"/>
      <c r="H28" s="2"/>
      <c r="I28" s="3"/>
    </row>
    <row r="29" spans="1:14" ht="35.25" customHeight="1">
      <c r="A29" s="19"/>
      <c r="B29" s="20"/>
      <c r="C29" s="157" t="s">
        <v>14</v>
      </c>
      <c r="D29" s="151"/>
      <c r="E29" s="151"/>
      <c r="F29" s="152"/>
      <c r="G29" s="18"/>
      <c r="H29" s="2"/>
      <c r="I29" s="3"/>
    </row>
    <row r="30" spans="1:14" ht="45" customHeight="1">
      <c r="A30" s="22"/>
      <c r="B30" s="23"/>
      <c r="C30" s="153" t="s">
        <v>15</v>
      </c>
      <c r="D30" s="123"/>
      <c r="E30" s="123"/>
      <c r="F30" s="127"/>
      <c r="G30" s="18"/>
      <c r="H30" s="39"/>
      <c r="I30" s="3"/>
    </row>
    <row r="31" spans="1:14" ht="24" customHeight="1">
      <c r="A31" s="22"/>
      <c r="B31" s="23"/>
      <c r="C31" s="147" t="s">
        <v>16</v>
      </c>
      <c r="D31" s="124"/>
      <c r="E31" s="40" t="s">
        <v>17</v>
      </c>
      <c r="F31" s="26" t="s">
        <v>18</v>
      </c>
      <c r="G31" s="18"/>
      <c r="H31" s="39"/>
      <c r="I31" s="3"/>
    </row>
    <row r="32" spans="1:14" ht="72" customHeight="1">
      <c r="A32" s="22"/>
      <c r="B32" s="23"/>
      <c r="C32" s="159" t="s">
        <v>19</v>
      </c>
      <c r="D32" s="130"/>
      <c r="E32" s="41">
        <f>(((125506*1.1)*1.1)*1.1)*1.1</f>
        <v>183753.33460000006</v>
      </c>
      <c r="F32" s="42">
        <v>38</v>
      </c>
      <c r="G32" s="18"/>
      <c r="H32" s="39"/>
      <c r="I32" s="3"/>
      <c r="K32" s="75" t="s">
        <v>86</v>
      </c>
    </row>
    <row r="33" spans="1:9" ht="15.75" customHeight="1">
      <c r="A33" s="43"/>
      <c r="B33" s="44"/>
      <c r="C33" s="129" t="s">
        <v>20</v>
      </c>
      <c r="D33" s="130"/>
      <c r="E33" s="160">
        <f>SUMPRODUCT(E32, F32)</f>
        <v>6982626.7148000021</v>
      </c>
      <c r="F33" s="156"/>
      <c r="G33" s="18"/>
      <c r="H33" s="2"/>
      <c r="I33" s="3"/>
    </row>
    <row r="34" spans="1:9" ht="24" customHeight="1">
      <c r="A34" s="24"/>
      <c r="B34" s="25"/>
      <c r="C34" s="147" t="s">
        <v>21</v>
      </c>
      <c r="D34" s="123"/>
      <c r="E34" s="124"/>
      <c r="F34" s="26" t="s">
        <v>22</v>
      </c>
      <c r="G34" s="27"/>
      <c r="H34" s="28"/>
      <c r="I34" s="3"/>
    </row>
    <row r="35" spans="1:9" ht="30" customHeight="1">
      <c r="A35" s="29"/>
      <c r="B35" s="30"/>
      <c r="C35" s="158" t="s">
        <v>123</v>
      </c>
      <c r="D35" s="132"/>
      <c r="E35" s="130"/>
      <c r="F35" s="45">
        <v>0.33329999999999999</v>
      </c>
      <c r="G35" s="18"/>
      <c r="H35" s="2"/>
      <c r="I35" s="3"/>
    </row>
    <row r="36" spans="1:9" ht="15.75" customHeight="1" outlineLevel="1">
      <c r="A36" s="29"/>
      <c r="B36" s="30"/>
      <c r="C36" s="128" t="s">
        <v>124</v>
      </c>
      <c r="D36" s="123"/>
      <c r="E36" s="123"/>
      <c r="F36" s="127"/>
      <c r="G36" s="18"/>
      <c r="H36" s="2"/>
      <c r="I36" s="3"/>
    </row>
    <row r="37" spans="1:9" ht="15.75" customHeight="1">
      <c r="A37" s="24"/>
      <c r="B37" s="25"/>
      <c r="C37" s="147" t="s">
        <v>25</v>
      </c>
      <c r="D37" s="123"/>
      <c r="E37" s="124"/>
      <c r="F37" s="26" t="s">
        <v>22</v>
      </c>
      <c r="G37" s="27"/>
      <c r="H37" s="28"/>
      <c r="I37" s="3"/>
    </row>
    <row r="38" spans="1:9" ht="46.5" customHeight="1" collapsed="1">
      <c r="A38" s="29"/>
      <c r="B38" s="30"/>
      <c r="C38" s="126" t="s">
        <v>125</v>
      </c>
      <c r="D38" s="123"/>
      <c r="E38" s="124"/>
      <c r="F38" s="45">
        <v>0.3</v>
      </c>
      <c r="G38" s="18"/>
      <c r="H38" s="2"/>
      <c r="I38" s="3"/>
    </row>
    <row r="39" spans="1:9" ht="54" hidden="1" customHeight="1" outlineLevel="1">
      <c r="A39" s="29"/>
      <c r="B39" s="30"/>
      <c r="C39" s="128" t="s">
        <v>126</v>
      </c>
      <c r="D39" s="123"/>
      <c r="E39" s="123"/>
      <c r="F39" s="127"/>
      <c r="G39" s="18"/>
      <c r="H39" s="2"/>
      <c r="I39" s="3"/>
    </row>
    <row r="40" spans="1:9" ht="29.25" customHeight="1">
      <c r="A40" s="33"/>
      <c r="B40" s="34"/>
      <c r="C40" s="154" t="s">
        <v>28</v>
      </c>
      <c r="D40" s="130"/>
      <c r="E40" s="155">
        <f>E33 * (1 + F35 + F38)</f>
        <v>11404724.213282844</v>
      </c>
      <c r="F40" s="156"/>
      <c r="G40" s="18"/>
      <c r="H40" s="2"/>
      <c r="I40" s="3"/>
    </row>
    <row r="41" spans="1:9" ht="15.75" customHeight="1">
      <c r="A41" s="1"/>
      <c r="B41" s="17"/>
      <c r="C41" s="46"/>
      <c r="D41" s="46"/>
      <c r="E41" s="46"/>
      <c r="F41" s="46"/>
      <c r="G41" s="18"/>
      <c r="H41" s="2"/>
      <c r="I41" s="3"/>
    </row>
    <row r="42" spans="1:9" ht="15.75" customHeight="1">
      <c r="A42" s="1"/>
      <c r="B42" s="17"/>
      <c r="C42" s="46"/>
      <c r="D42" s="46"/>
      <c r="E42" s="46"/>
      <c r="F42" s="46"/>
      <c r="G42" s="18"/>
      <c r="H42" s="2"/>
      <c r="I42" s="3"/>
    </row>
    <row r="43" spans="1:9" ht="36.75" customHeight="1">
      <c r="A43" s="19"/>
      <c r="B43" s="20"/>
      <c r="C43" s="157" t="s">
        <v>29</v>
      </c>
      <c r="D43" s="151"/>
      <c r="E43" s="151"/>
      <c r="F43" s="152"/>
      <c r="G43" s="18"/>
      <c r="H43" s="2"/>
      <c r="I43" s="3"/>
    </row>
    <row r="44" spans="1:9" ht="60" customHeight="1">
      <c r="A44" s="22"/>
      <c r="B44" s="23"/>
      <c r="C44" s="153" t="s">
        <v>30</v>
      </c>
      <c r="D44" s="123"/>
      <c r="E44" s="123"/>
      <c r="F44" s="127"/>
      <c r="G44" s="18"/>
      <c r="H44" s="2"/>
      <c r="I44" s="3"/>
    </row>
    <row r="45" spans="1:9" ht="18.75" customHeight="1">
      <c r="A45" s="24"/>
      <c r="B45" s="25"/>
      <c r="C45" s="147" t="s">
        <v>31</v>
      </c>
      <c r="D45" s="123"/>
      <c r="E45" s="124"/>
      <c r="F45" s="26" t="s">
        <v>7</v>
      </c>
      <c r="G45" s="18"/>
      <c r="H45" s="2"/>
      <c r="I45" s="3"/>
    </row>
    <row r="46" spans="1:9" ht="145.5" customHeight="1">
      <c r="A46" s="29"/>
      <c r="B46" s="30"/>
      <c r="C46" s="126" t="s">
        <v>127</v>
      </c>
      <c r="D46" s="123"/>
      <c r="E46" s="124"/>
      <c r="F46" s="47">
        <v>500000</v>
      </c>
      <c r="G46" s="18"/>
      <c r="H46" s="2"/>
      <c r="I46" s="3"/>
    </row>
    <row r="47" spans="1:9" ht="15.75" customHeight="1">
      <c r="A47" s="1"/>
      <c r="B47" s="17"/>
      <c r="C47" s="46"/>
      <c r="D47" s="46"/>
      <c r="E47" s="46"/>
      <c r="F47" s="46"/>
      <c r="G47" s="18"/>
      <c r="H47" s="2"/>
      <c r="I47" s="3"/>
    </row>
    <row r="48" spans="1:9" ht="15.75" customHeight="1">
      <c r="A48" s="1"/>
      <c r="B48" s="17"/>
      <c r="C48" s="46"/>
      <c r="D48" s="46"/>
      <c r="E48" s="46"/>
      <c r="F48" s="46"/>
      <c r="G48" s="18"/>
      <c r="H48" s="2"/>
      <c r="I48" s="3"/>
    </row>
    <row r="49" spans="1:9" ht="36.75" customHeight="1">
      <c r="A49" s="19"/>
      <c r="B49" s="20"/>
      <c r="C49" s="150" t="s">
        <v>128</v>
      </c>
      <c r="D49" s="151"/>
      <c r="E49" s="151"/>
      <c r="F49" s="152"/>
      <c r="G49" s="18"/>
      <c r="H49" s="2"/>
      <c r="I49" s="3"/>
    </row>
    <row r="50" spans="1:9" ht="45" customHeight="1">
      <c r="A50" s="48"/>
      <c r="B50" s="49"/>
      <c r="C50" s="153" t="s">
        <v>34</v>
      </c>
      <c r="D50" s="123"/>
      <c r="E50" s="123"/>
      <c r="F50" s="127"/>
      <c r="G50" s="18"/>
      <c r="H50" s="2"/>
      <c r="I50" s="3"/>
    </row>
    <row r="51" spans="1:9" ht="24" customHeight="1">
      <c r="A51" s="24"/>
      <c r="B51" s="25"/>
      <c r="C51" s="147" t="s">
        <v>35</v>
      </c>
      <c r="D51" s="123"/>
      <c r="E51" s="124"/>
      <c r="F51" s="26" t="s">
        <v>7</v>
      </c>
      <c r="G51" s="18"/>
      <c r="H51" s="2"/>
      <c r="I51" s="3"/>
    </row>
    <row r="52" spans="1:9" ht="78.75" customHeight="1">
      <c r="A52" s="50"/>
      <c r="B52" s="51"/>
      <c r="C52" s="145" t="s">
        <v>129</v>
      </c>
      <c r="D52" s="132"/>
      <c r="E52" s="130"/>
      <c r="F52" s="47">
        <v>5000</v>
      </c>
      <c r="G52" s="18"/>
      <c r="H52" s="2"/>
      <c r="I52" s="3"/>
    </row>
    <row r="53" spans="1:9" ht="81" hidden="1" customHeight="1" outlineLevel="1">
      <c r="A53" s="50"/>
      <c r="B53" s="51"/>
      <c r="C53" s="146" t="s">
        <v>130</v>
      </c>
      <c r="D53" s="123"/>
      <c r="E53" s="123"/>
      <c r="F53" s="127"/>
      <c r="G53" s="18"/>
      <c r="H53" s="2"/>
      <c r="I53" s="3"/>
    </row>
    <row r="54" spans="1:9" ht="54.75" customHeight="1" outlineLevel="1">
      <c r="A54" s="50"/>
      <c r="B54" s="51"/>
      <c r="C54" s="146" t="s">
        <v>131</v>
      </c>
      <c r="D54" s="123"/>
      <c r="E54" s="123"/>
      <c r="F54" s="127"/>
      <c r="G54" s="18"/>
      <c r="H54" s="2"/>
      <c r="I54" s="3"/>
    </row>
    <row r="55" spans="1:9" ht="24" customHeight="1">
      <c r="A55" s="24"/>
      <c r="B55" s="25"/>
      <c r="C55" s="147" t="s">
        <v>39</v>
      </c>
      <c r="D55" s="123"/>
      <c r="E55" s="124"/>
      <c r="F55" s="26"/>
      <c r="G55" s="18"/>
      <c r="H55" s="2"/>
      <c r="I55" s="3"/>
    </row>
    <row r="56" spans="1:9" ht="15.75" customHeight="1" collapsed="1">
      <c r="A56" s="29"/>
      <c r="B56" s="30"/>
      <c r="C56" s="126" t="s">
        <v>132</v>
      </c>
      <c r="D56" s="123"/>
      <c r="E56" s="123"/>
      <c r="F56" s="127"/>
      <c r="G56" s="18"/>
      <c r="H56" s="2"/>
      <c r="I56" s="3"/>
    </row>
    <row r="57" spans="1:9" ht="58.5" hidden="1" customHeight="1" outlineLevel="1">
      <c r="A57" s="50"/>
      <c r="B57" s="51"/>
      <c r="C57" s="128" t="s">
        <v>41</v>
      </c>
      <c r="D57" s="123"/>
      <c r="E57" s="123"/>
      <c r="F57" s="127"/>
      <c r="G57" s="18"/>
      <c r="H57" s="2"/>
      <c r="I57" s="3"/>
    </row>
    <row r="58" spans="1:9" ht="24" customHeight="1">
      <c r="A58" s="24"/>
      <c r="B58" s="25"/>
      <c r="C58" s="52" t="s">
        <v>42</v>
      </c>
      <c r="D58" s="40" t="s">
        <v>43</v>
      </c>
      <c r="E58" s="40" t="s">
        <v>44</v>
      </c>
      <c r="F58" s="26" t="s">
        <v>45</v>
      </c>
      <c r="G58" s="18"/>
      <c r="H58" s="2"/>
      <c r="I58" s="3"/>
    </row>
    <row r="59" spans="1:9" ht="24" customHeight="1">
      <c r="A59" s="24"/>
      <c r="B59" s="25"/>
      <c r="C59" s="53" t="s">
        <v>97</v>
      </c>
      <c r="D59" s="54">
        <v>1299</v>
      </c>
      <c r="E59" s="55">
        <v>3</v>
      </c>
      <c r="F59" s="56">
        <f t="shared" ref="F59:F65" si="0">D59*E59</f>
        <v>3897</v>
      </c>
      <c r="G59" s="18"/>
      <c r="H59" s="2"/>
      <c r="I59" s="3"/>
    </row>
    <row r="60" spans="1:9" ht="24" customHeight="1">
      <c r="A60" s="24"/>
      <c r="B60" s="25"/>
      <c r="C60" s="53" t="s">
        <v>77</v>
      </c>
      <c r="D60" s="54">
        <v>25</v>
      </c>
      <c r="E60" s="55">
        <v>850000</v>
      </c>
      <c r="F60" s="57">
        <f t="shared" si="0"/>
        <v>21250000</v>
      </c>
      <c r="G60" s="18"/>
      <c r="H60" s="2"/>
      <c r="I60" s="3"/>
    </row>
    <row r="61" spans="1:9" ht="24" customHeight="1">
      <c r="A61" s="24"/>
      <c r="B61" s="25"/>
      <c r="C61" s="58" t="s">
        <v>78</v>
      </c>
      <c r="D61" s="59">
        <v>700</v>
      </c>
      <c r="E61" s="60">
        <v>3</v>
      </c>
      <c r="F61" s="57">
        <f t="shared" si="0"/>
        <v>2100</v>
      </c>
      <c r="G61" s="18"/>
      <c r="H61" s="2"/>
      <c r="I61" s="3"/>
    </row>
    <row r="62" spans="1:9" ht="24" customHeight="1">
      <c r="A62" s="24"/>
      <c r="B62" s="25"/>
      <c r="C62" s="58" t="s">
        <v>80</v>
      </c>
      <c r="D62" s="59">
        <v>65000</v>
      </c>
      <c r="E62" s="60">
        <v>6</v>
      </c>
      <c r="F62" s="57">
        <f t="shared" si="0"/>
        <v>390000</v>
      </c>
      <c r="G62" s="18"/>
      <c r="H62" s="2"/>
      <c r="I62" s="3"/>
    </row>
    <row r="63" spans="1:9" ht="24" customHeight="1">
      <c r="A63" s="24"/>
      <c r="B63" s="25"/>
      <c r="C63" s="58" t="s">
        <v>81</v>
      </c>
      <c r="D63" s="59">
        <v>1500</v>
      </c>
      <c r="E63" s="60">
        <v>7</v>
      </c>
      <c r="F63" s="57">
        <f t="shared" si="0"/>
        <v>10500</v>
      </c>
      <c r="G63" s="18"/>
      <c r="H63" s="2"/>
      <c r="I63" s="3"/>
    </row>
    <row r="64" spans="1:9" ht="24" customHeight="1">
      <c r="A64" s="24"/>
      <c r="B64" s="25"/>
      <c r="C64" s="99" t="s">
        <v>98</v>
      </c>
      <c r="D64" s="59">
        <f>0.2*F22</f>
        <v>4339002.0446555344</v>
      </c>
      <c r="E64" s="60">
        <v>1</v>
      </c>
      <c r="F64" s="57">
        <f t="shared" si="0"/>
        <v>4339002.0446555344</v>
      </c>
      <c r="G64" s="18"/>
      <c r="H64" s="2"/>
      <c r="I64" s="3"/>
    </row>
    <row r="65" spans="1:13" ht="24" customHeight="1">
      <c r="A65" s="24"/>
      <c r="B65" s="25"/>
      <c r="C65" s="61"/>
      <c r="D65" s="62"/>
      <c r="E65" s="63"/>
      <c r="F65" s="64">
        <f t="shared" si="0"/>
        <v>0</v>
      </c>
      <c r="G65" s="18"/>
      <c r="H65" s="2"/>
      <c r="I65" s="3"/>
    </row>
    <row r="66" spans="1:13" ht="24" customHeight="1">
      <c r="A66" s="24"/>
      <c r="B66" s="25"/>
      <c r="C66" s="129" t="s">
        <v>46</v>
      </c>
      <c r="D66" s="130"/>
      <c r="E66" s="65"/>
      <c r="F66" s="66">
        <f>SUM(F59:F65)</f>
        <v>25995499.044655535</v>
      </c>
      <c r="G66" s="18"/>
      <c r="H66" s="2"/>
      <c r="I66" s="3"/>
    </row>
    <row r="67" spans="1:13" ht="63.75" customHeight="1">
      <c r="A67" s="33"/>
      <c r="B67" s="34"/>
      <c r="C67" s="131" t="s">
        <v>47</v>
      </c>
      <c r="D67" s="132"/>
      <c r="E67" s="130"/>
      <c r="F67" s="67">
        <f>F66+F52+F46+E40</f>
        <v>37905223.257938378</v>
      </c>
      <c r="G67" s="18"/>
      <c r="H67" s="2"/>
      <c r="I67" s="3"/>
    </row>
    <row r="68" spans="1:13" ht="15.75" customHeight="1">
      <c r="A68" s="1"/>
      <c r="B68" s="36"/>
      <c r="C68" s="37"/>
      <c r="D68" s="37"/>
      <c r="E68" s="37"/>
      <c r="F68" s="37"/>
      <c r="G68" s="38"/>
      <c r="H68" s="2"/>
      <c r="I68" s="3"/>
      <c r="L68" s="94"/>
    </row>
    <row r="69" spans="1:13" ht="15.75" customHeight="1">
      <c r="A69" s="1"/>
      <c r="B69" s="1"/>
      <c r="H69" s="2"/>
      <c r="I69" s="3"/>
    </row>
    <row r="70" spans="1:13" ht="15.75" customHeight="1">
      <c r="A70" s="1"/>
      <c r="B70" s="1"/>
      <c r="H70" s="2"/>
      <c r="I70" s="3"/>
    </row>
    <row r="71" spans="1:13" ht="15.75" customHeight="1">
      <c r="A71" s="1"/>
      <c r="B71" s="10"/>
      <c r="C71" s="11"/>
      <c r="D71" s="11"/>
      <c r="E71" s="11"/>
      <c r="F71" s="11"/>
      <c r="G71" s="12"/>
      <c r="H71" s="2"/>
      <c r="I71" s="3"/>
    </row>
    <row r="72" spans="1:13" ht="15.75" customHeight="1">
      <c r="A72" s="1"/>
      <c r="B72" s="17"/>
      <c r="C72" s="133" t="s">
        <v>48</v>
      </c>
      <c r="D72" s="123"/>
      <c r="E72" s="123"/>
      <c r="F72" s="124"/>
      <c r="G72" s="18"/>
      <c r="H72" s="2"/>
      <c r="I72" s="3"/>
    </row>
    <row r="73" spans="1:13" ht="15.75" customHeight="1">
      <c r="A73" s="1"/>
      <c r="B73" s="17"/>
      <c r="C73" s="134" t="s">
        <v>133</v>
      </c>
      <c r="D73" s="135"/>
      <c r="E73" s="135"/>
      <c r="F73" s="136"/>
      <c r="G73" s="18"/>
      <c r="H73" s="2"/>
      <c r="I73" s="3"/>
    </row>
    <row r="74" spans="1:13" ht="15.75" customHeight="1">
      <c r="A74" s="1"/>
      <c r="B74" s="17"/>
      <c r="C74" s="137"/>
      <c r="D74" s="138"/>
      <c r="E74" s="138"/>
      <c r="F74" s="139"/>
      <c r="G74" s="18"/>
      <c r="H74" s="2"/>
      <c r="I74" s="3"/>
    </row>
    <row r="75" spans="1:13" ht="15.75" customHeight="1">
      <c r="A75" s="1"/>
      <c r="B75" s="17"/>
      <c r="C75" s="137"/>
      <c r="D75" s="138"/>
      <c r="E75" s="138"/>
      <c r="F75" s="139"/>
      <c r="G75" s="18"/>
      <c r="H75" s="2"/>
      <c r="I75" s="3"/>
    </row>
    <row r="76" spans="1:13" ht="15.75" customHeight="1">
      <c r="A76" s="1"/>
      <c r="B76" s="17"/>
      <c r="C76" s="140"/>
      <c r="D76" s="141"/>
      <c r="E76" s="141"/>
      <c r="F76" s="142"/>
      <c r="G76" s="18"/>
      <c r="H76" s="2"/>
      <c r="I76" s="3"/>
    </row>
    <row r="77" spans="1:13" ht="36" customHeight="1">
      <c r="A77" s="13"/>
      <c r="B77" s="14"/>
      <c r="C77" s="68" t="s">
        <v>50</v>
      </c>
      <c r="D77" s="143" t="s">
        <v>51</v>
      </c>
      <c r="E77" s="144"/>
      <c r="F77" s="69" t="s">
        <v>52</v>
      </c>
      <c r="G77" s="15"/>
      <c r="H77" s="16"/>
      <c r="I77" s="3"/>
    </row>
    <row r="78" spans="1:13" ht="36" customHeight="1">
      <c r="A78" s="13"/>
      <c r="B78" s="14"/>
      <c r="C78" s="95">
        <f>F67/F22</f>
        <v>1.7471862362741803</v>
      </c>
      <c r="D78" s="148">
        <f>C78/12</f>
        <v>0.14559885302284836</v>
      </c>
      <c r="E78" s="149"/>
      <c r="F78" s="71">
        <f>D78/30.5</f>
        <v>4.7737328859950284E-3</v>
      </c>
      <c r="G78" s="15"/>
      <c r="H78" s="16"/>
      <c r="I78" s="3"/>
    </row>
    <row r="79" spans="1:13" ht="21" customHeight="1">
      <c r="A79" s="1"/>
      <c r="B79" s="17"/>
      <c r="C79" s="1"/>
      <c r="D79" s="1"/>
      <c r="E79" s="1"/>
      <c r="F79" s="1"/>
      <c r="G79" s="18"/>
      <c r="H79" s="2"/>
      <c r="I79" s="3"/>
    </row>
    <row r="80" spans="1:13" ht="31.5" customHeight="1">
      <c r="A80" s="1"/>
      <c r="B80" s="17"/>
      <c r="C80" s="122" t="s">
        <v>53</v>
      </c>
      <c r="D80" s="123"/>
      <c r="E80" s="123"/>
      <c r="F80" s="124"/>
      <c r="G80" s="18"/>
      <c r="H80" s="2"/>
      <c r="I80" s="3"/>
      <c r="M80" s="96"/>
    </row>
    <row r="81" spans="1:9" ht="15.75" customHeight="1">
      <c r="A81" s="1"/>
      <c r="B81" s="17"/>
      <c r="C81" s="125" t="s">
        <v>54</v>
      </c>
      <c r="D81" s="123"/>
      <c r="E81" s="123"/>
      <c r="F81" s="124"/>
      <c r="G81" s="18"/>
      <c r="H81" s="2"/>
      <c r="I81" s="3"/>
    </row>
    <row r="82" spans="1:9" ht="24.75" customHeight="1">
      <c r="A82" s="1"/>
      <c r="B82" s="36"/>
      <c r="C82" s="37"/>
      <c r="D82" s="37"/>
      <c r="E82" s="37"/>
      <c r="F82" s="37"/>
      <c r="G82" s="38"/>
      <c r="H82" s="2"/>
      <c r="I82" s="3"/>
    </row>
    <row r="83" spans="1:9" ht="15.75" customHeight="1">
      <c r="A83" s="1"/>
      <c r="B83" s="1"/>
      <c r="H83" s="2"/>
      <c r="I83" s="3"/>
    </row>
    <row r="84" spans="1:9" ht="15.75" customHeight="1">
      <c r="A84" s="1"/>
      <c r="B84" s="1"/>
      <c r="H84" s="2"/>
      <c r="I84" s="3"/>
    </row>
    <row r="85" spans="1:9" ht="15.75" customHeight="1">
      <c r="A85" s="1"/>
      <c r="B85" s="1"/>
      <c r="H85" s="2"/>
      <c r="I85" s="3"/>
    </row>
    <row r="86" spans="1:9" ht="15.75" customHeight="1">
      <c r="A86" s="1"/>
      <c r="B86" s="1"/>
      <c r="H86" s="2"/>
      <c r="I86" s="3"/>
    </row>
    <row r="87" spans="1:9" ht="15.75" customHeight="1">
      <c r="A87" s="1"/>
      <c r="B87" s="1"/>
      <c r="H87" s="2"/>
      <c r="I87" s="3"/>
    </row>
    <row r="88" spans="1:9" ht="15.75" customHeight="1">
      <c r="A88" s="1"/>
      <c r="B88" s="1"/>
      <c r="H88" s="2"/>
      <c r="I88" s="3"/>
    </row>
    <row r="89" spans="1:9" ht="15.75" customHeight="1">
      <c r="A89" s="1"/>
      <c r="B89" s="1"/>
      <c r="H89" s="2"/>
      <c r="I89" s="3"/>
    </row>
    <row r="90" spans="1:9" ht="15.75" customHeight="1">
      <c r="A90" s="1"/>
      <c r="B90" s="1"/>
      <c r="H90" s="2"/>
      <c r="I90" s="3"/>
    </row>
    <row r="91" spans="1:9" ht="15.75" customHeight="1">
      <c r="A91" s="1"/>
      <c r="B91" s="1"/>
      <c r="H91" s="2"/>
      <c r="I91" s="3"/>
    </row>
    <row r="92" spans="1:9" ht="15.75" customHeight="1"/>
    <row r="93" spans="1:9" ht="15.75" customHeight="1"/>
    <row r="94" spans="1:9" ht="15.75" customHeight="1"/>
    <row r="95" spans="1:9" ht="15.75" customHeight="1"/>
    <row r="96" spans="1:9"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6">
    <mergeCell ref="C9:F9"/>
    <mergeCell ref="C13:F13"/>
    <mergeCell ref="C15:F15"/>
    <mergeCell ref="C16:F16"/>
    <mergeCell ref="C17:E17"/>
    <mergeCell ref="C18:E18"/>
    <mergeCell ref="C19:E19"/>
    <mergeCell ref="C20:E20"/>
    <mergeCell ref="C21:E21"/>
    <mergeCell ref="C22:E22"/>
    <mergeCell ref="C27:F27"/>
    <mergeCell ref="C29:F29"/>
    <mergeCell ref="C30:F30"/>
    <mergeCell ref="C31:D31"/>
    <mergeCell ref="C32:D32"/>
    <mergeCell ref="C33:D33"/>
    <mergeCell ref="E33:F33"/>
    <mergeCell ref="C34:E34"/>
    <mergeCell ref="C35:E35"/>
    <mergeCell ref="C36:F36"/>
    <mergeCell ref="C37:E37"/>
    <mergeCell ref="C38:E38"/>
    <mergeCell ref="C39:F39"/>
    <mergeCell ref="C40:D40"/>
    <mergeCell ref="E40:F40"/>
    <mergeCell ref="C43:F43"/>
    <mergeCell ref="C44:F44"/>
    <mergeCell ref="C45:E45"/>
    <mergeCell ref="C46:E46"/>
    <mergeCell ref="C49:F49"/>
    <mergeCell ref="C50:F50"/>
    <mergeCell ref="C51:E51"/>
    <mergeCell ref="C52:E52"/>
    <mergeCell ref="C53:F53"/>
    <mergeCell ref="C54:F54"/>
    <mergeCell ref="D77:E77"/>
    <mergeCell ref="D78:E78"/>
    <mergeCell ref="C80:F80"/>
    <mergeCell ref="C81:F81"/>
    <mergeCell ref="C55:E55"/>
    <mergeCell ref="C56:F56"/>
    <mergeCell ref="C57:F57"/>
    <mergeCell ref="C66:D66"/>
    <mergeCell ref="C67:E67"/>
    <mergeCell ref="C72:F72"/>
    <mergeCell ref="C73:F76"/>
  </mergeCells>
  <pageMargins left="0.7" right="0.7" top="0.75" bottom="0.75" header="0" footer="0"/>
  <pageSetup orientation="portrait"/>
  <drawing r:id="rId1"/>
  <tableParts count="5">
    <tablePart r:id="rId2"/>
    <tablePart r:id="rId3"/>
    <tablePart r:id="rId4"/>
    <tablePart r:id="rId5"/>
    <tablePart r:id="rId6"/>
  </tableParts>
  <extLst>
    <ext xmlns:x14="http://schemas.microsoft.com/office/spreadsheetml/2009/9/main" uri="{CCE6A557-97BC-4b89-ADB6-D9C93CAAB3DF}">
      <x14:dataValidations xmlns:xm="http://schemas.microsoft.com/office/excel/2006/main" count="1">
        <x14:dataValidation type="list" allowBlank="1" showInputMessage="1" prompt="Feel free to customize this number." xr:uid="{00000000-0002-0000-0600-000000000000}">
          <x14:formula1>
            <xm:f>Variables!$A$2:$A$5</xm:f>
          </x14:formula1>
          <xm:sqref>F46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G23"/>
  <sheetViews>
    <sheetView showGridLines="0" zoomScale="144" workbookViewId="0">
      <selection activeCell="C3" sqref="C3"/>
    </sheetView>
  </sheetViews>
  <sheetFormatPr baseColWidth="10" defaultColWidth="12.6640625" defaultRowHeight="15" customHeight="1"/>
  <cols>
    <col min="1" max="1" width="4.83203125" customWidth="1"/>
    <col min="2" max="2" width="29.5" bestFit="1" customWidth="1"/>
  </cols>
  <sheetData>
    <row r="2" spans="2:7" ht="15" customHeight="1">
      <c r="C2" s="100" t="s">
        <v>134</v>
      </c>
      <c r="D2" s="100" t="s">
        <v>135</v>
      </c>
      <c r="E2" s="100" t="s">
        <v>136</v>
      </c>
      <c r="F2" s="100" t="s">
        <v>137</v>
      </c>
      <c r="G2" s="100" t="s">
        <v>138</v>
      </c>
    </row>
    <row r="3" spans="2:7" ht="15" customHeight="1">
      <c r="B3" s="75" t="s">
        <v>139</v>
      </c>
      <c r="C3" s="81">
        <v>5769</v>
      </c>
      <c r="D3" s="81">
        <f t="shared" ref="D3:G3" si="0">C3*(1+D22)</f>
        <v>6057.45</v>
      </c>
      <c r="E3" s="81">
        <f t="shared" si="0"/>
        <v>6360.3225000000002</v>
      </c>
      <c r="F3" s="81">
        <f t="shared" si="0"/>
        <v>6614.7354000000005</v>
      </c>
      <c r="G3" s="81">
        <f t="shared" si="0"/>
        <v>6813.1774620000006</v>
      </c>
    </row>
    <row r="4" spans="2:7" ht="15" customHeight="1">
      <c r="B4" s="101" t="s">
        <v>140</v>
      </c>
      <c r="C4" s="102">
        <v>1.4999999999999999E-2</v>
      </c>
      <c r="D4" s="102">
        <v>1.4999999999999999E-2</v>
      </c>
      <c r="E4" s="102">
        <v>1.4999999999999999E-2</v>
      </c>
      <c r="F4" s="102">
        <v>1.4999999999999999E-2</v>
      </c>
      <c r="G4" s="102">
        <v>1.4999999999999999E-2</v>
      </c>
    </row>
    <row r="5" spans="2:7" ht="15" customHeight="1">
      <c r="B5" s="75" t="s">
        <v>6</v>
      </c>
      <c r="C5" s="81">
        <f t="shared" ref="C5:G5" si="1">C3*C4</f>
        <v>86.534999999999997</v>
      </c>
      <c r="D5" s="81">
        <f t="shared" si="1"/>
        <v>90.861750000000001</v>
      </c>
      <c r="E5" s="81">
        <f t="shared" si="1"/>
        <v>95.404837499999999</v>
      </c>
      <c r="F5" s="81">
        <f t="shared" si="1"/>
        <v>99.221031000000011</v>
      </c>
      <c r="G5" s="81">
        <f t="shared" si="1"/>
        <v>102.19766193000001</v>
      </c>
    </row>
    <row r="6" spans="2:7" ht="15" customHeight="1">
      <c r="B6" s="101" t="s">
        <v>65</v>
      </c>
      <c r="C6" s="103">
        <f>'Year 1'!F21</f>
        <v>3600</v>
      </c>
      <c r="D6" s="103">
        <f t="shared" ref="D6:G6" si="2">C6*(1+D23)</f>
        <v>6300</v>
      </c>
      <c r="E6" s="103">
        <f t="shared" si="2"/>
        <v>10080</v>
      </c>
      <c r="F6" s="103">
        <f t="shared" si="2"/>
        <v>13104</v>
      </c>
      <c r="G6" s="103">
        <f t="shared" si="2"/>
        <v>17690.400000000001</v>
      </c>
    </row>
    <row r="7" spans="2:7" ht="15" customHeight="1">
      <c r="B7" s="77" t="s">
        <v>12</v>
      </c>
      <c r="C7" s="78">
        <f t="shared" ref="C7:G7" si="3">C5*C6*C21</f>
        <v>3738312</v>
      </c>
      <c r="D7" s="78">
        <f t="shared" si="3"/>
        <v>6869148.3000000007</v>
      </c>
      <c r="E7" s="78">
        <f t="shared" si="3"/>
        <v>11540169.143999999</v>
      </c>
      <c r="F7" s="78">
        <f t="shared" si="3"/>
        <v>15602308.682688002</v>
      </c>
      <c r="G7" s="78">
        <f t="shared" si="3"/>
        <v>21695010.223277666</v>
      </c>
    </row>
    <row r="8" spans="2:7" ht="15" customHeight="1">
      <c r="B8" s="104" t="s">
        <v>141</v>
      </c>
      <c r="C8" s="105" t="s">
        <v>142</v>
      </c>
      <c r="D8" s="106">
        <f t="shared" ref="D8:G8" si="4">D7/C7-1</f>
        <v>0.83750000000000013</v>
      </c>
      <c r="E8" s="106">
        <f t="shared" si="4"/>
        <v>0.67999999999999972</v>
      </c>
      <c r="F8" s="106">
        <f t="shared" si="4"/>
        <v>0.35200000000000031</v>
      </c>
      <c r="G8" s="106">
        <f t="shared" si="4"/>
        <v>0.39050000000000007</v>
      </c>
    </row>
    <row r="10" spans="2:7" ht="15" customHeight="1">
      <c r="B10" s="75" t="s">
        <v>143</v>
      </c>
      <c r="C10" s="81">
        <f>'Year 1'!E40</f>
        <v>4099778.9959999998</v>
      </c>
      <c r="D10" s="81">
        <f>'Year 2'!E40</f>
        <v>5186220.4299400002</v>
      </c>
      <c r="E10" s="81">
        <f>'Year 3'!E40</f>
        <v>8185208.7655140003</v>
      </c>
      <c r="F10" s="81">
        <f>'Year 4'!E40</f>
        <v>9549410.2264330033</v>
      </c>
      <c r="G10" s="81">
        <f>'Year 5'!E40</f>
        <v>11404724.213282844</v>
      </c>
    </row>
    <row r="11" spans="2:7" ht="15" customHeight="1">
      <c r="B11" s="75" t="s">
        <v>29</v>
      </c>
      <c r="C11" s="81">
        <f>'Year 1'!F46</f>
        <v>500000</v>
      </c>
      <c r="D11" s="81">
        <f t="shared" ref="D11:G11" si="5">$C$11</f>
        <v>500000</v>
      </c>
      <c r="E11" s="81">
        <f t="shared" si="5"/>
        <v>500000</v>
      </c>
      <c r="F11" s="81">
        <f t="shared" si="5"/>
        <v>500000</v>
      </c>
      <c r="G11" s="81">
        <f t="shared" si="5"/>
        <v>500000</v>
      </c>
    </row>
    <row r="12" spans="2:7" ht="15" customHeight="1">
      <c r="B12" s="75" t="s">
        <v>144</v>
      </c>
      <c r="C12" s="81">
        <v>5000</v>
      </c>
      <c r="D12" s="81">
        <v>5000</v>
      </c>
      <c r="E12" s="81">
        <v>5000</v>
      </c>
      <c r="F12" s="81">
        <v>5000</v>
      </c>
      <c r="G12" s="81">
        <v>5000</v>
      </c>
    </row>
    <row r="13" spans="2:7" ht="15" customHeight="1">
      <c r="B13" s="101" t="s">
        <v>145</v>
      </c>
      <c r="C13" s="107">
        <f>'Year 1'!F66</f>
        <v>30337980</v>
      </c>
      <c r="D13" s="107">
        <f>'Year 2'!F66</f>
        <v>30446241.489999998</v>
      </c>
      <c r="E13" s="107">
        <f>'Year 3'!F66</f>
        <v>29365547.7432</v>
      </c>
      <c r="F13" s="107">
        <f>'Year 4'!F66</f>
        <v>30513806.038940798</v>
      </c>
      <c r="G13" s="107">
        <f>'Year 5'!F66</f>
        <v>25995499.044655535</v>
      </c>
    </row>
    <row r="14" spans="2:7" ht="15" customHeight="1">
      <c r="B14" s="75" t="s">
        <v>47</v>
      </c>
      <c r="C14" s="81">
        <f t="shared" ref="C14:G14" si="6">SUM(C10:C13)</f>
        <v>34942758.995999999</v>
      </c>
      <c r="D14" s="81">
        <f t="shared" si="6"/>
        <v>36137461.919939995</v>
      </c>
      <c r="E14" s="81">
        <f t="shared" si="6"/>
        <v>38055756.508714005</v>
      </c>
      <c r="F14" s="81">
        <f t="shared" si="6"/>
        <v>40568216.265373804</v>
      </c>
      <c r="G14" s="81">
        <f t="shared" si="6"/>
        <v>37905223.257938378</v>
      </c>
    </row>
    <row r="16" spans="2:7" ht="15" customHeight="1">
      <c r="B16" s="108" t="s">
        <v>146</v>
      </c>
      <c r="C16" s="109">
        <f t="shared" ref="C16:G16" si="7">C7-C14</f>
        <v>-31204446.995999999</v>
      </c>
      <c r="D16" s="109">
        <f t="shared" si="7"/>
        <v>-29268313.619939994</v>
      </c>
      <c r="E16" s="109">
        <f t="shared" si="7"/>
        <v>-26515587.364714004</v>
      </c>
      <c r="F16" s="109">
        <f t="shared" si="7"/>
        <v>-24965907.582685802</v>
      </c>
      <c r="G16" s="109">
        <f t="shared" si="7"/>
        <v>-16210213.034660712</v>
      </c>
    </row>
    <row r="17" spans="2:7" ht="15" customHeight="1">
      <c r="C17" s="81">
        <f>C7/C14</f>
        <v>0.10698388185168595</v>
      </c>
    </row>
    <row r="21" spans="2:7" ht="15" customHeight="1">
      <c r="B21" s="110" t="s">
        <v>147</v>
      </c>
      <c r="C21" s="75">
        <v>12</v>
      </c>
      <c r="D21" s="75">
        <f t="shared" ref="D21:G21" si="8">C21</f>
        <v>12</v>
      </c>
      <c r="E21" s="75">
        <f t="shared" si="8"/>
        <v>12</v>
      </c>
      <c r="F21" s="75">
        <f t="shared" si="8"/>
        <v>12</v>
      </c>
      <c r="G21" s="75">
        <f t="shared" si="8"/>
        <v>12</v>
      </c>
    </row>
    <row r="22" spans="2:7" ht="15" customHeight="1">
      <c r="B22" s="75" t="s">
        <v>148</v>
      </c>
      <c r="C22" s="82" t="s">
        <v>142</v>
      </c>
      <c r="D22" s="84">
        <v>0.05</v>
      </c>
      <c r="E22" s="84">
        <v>0.05</v>
      </c>
      <c r="F22" s="84">
        <v>0.04</v>
      </c>
      <c r="G22" s="84">
        <v>0.03</v>
      </c>
    </row>
    <row r="23" spans="2:7" ht="15" customHeight="1">
      <c r="B23" s="75" t="s">
        <v>149</v>
      </c>
      <c r="C23" s="82" t="s">
        <v>142</v>
      </c>
      <c r="D23" s="111">
        <v>0.75</v>
      </c>
      <c r="E23" s="111">
        <v>0.6</v>
      </c>
      <c r="F23" s="111">
        <v>0.3</v>
      </c>
      <c r="G23" s="111">
        <v>0.35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C3736-07A2-2D4B-A5E3-85DFE5B37C71}">
  <sheetPr>
    <outlinePr summaryBelow="0" summaryRight="0"/>
  </sheetPr>
  <dimension ref="B2:G24"/>
  <sheetViews>
    <sheetView showGridLines="0" tabSelected="1" zoomScale="158" workbookViewId="0">
      <selection activeCell="D5" sqref="D5"/>
    </sheetView>
  </sheetViews>
  <sheetFormatPr baseColWidth="10" defaultColWidth="12.6640625" defaultRowHeight="15" customHeight="1"/>
  <cols>
    <col min="1" max="1" width="4.83203125" customWidth="1"/>
    <col min="2" max="2" width="29.5" bestFit="1" customWidth="1"/>
  </cols>
  <sheetData>
    <row r="2" spans="2:7" ht="15" customHeight="1">
      <c r="C2" s="100" t="s">
        <v>134</v>
      </c>
      <c r="D2" s="100" t="s">
        <v>135</v>
      </c>
      <c r="E2" s="100" t="s">
        <v>136</v>
      </c>
      <c r="F2" s="100" t="s">
        <v>137</v>
      </c>
      <c r="G2" s="100" t="s">
        <v>138</v>
      </c>
    </row>
    <row r="3" spans="2:7" ht="15" customHeight="1">
      <c r="B3" s="75" t="s">
        <v>151</v>
      </c>
      <c r="C3" s="114">
        <v>1.99</v>
      </c>
      <c r="D3" s="114">
        <f>C3</f>
        <v>1.99</v>
      </c>
      <c r="E3" s="114">
        <f>D3</f>
        <v>1.99</v>
      </c>
      <c r="F3" s="114">
        <v>2.99</v>
      </c>
      <c r="G3" s="114">
        <v>2.99</v>
      </c>
    </row>
    <row r="4" spans="2:7" ht="15" customHeight="1">
      <c r="B4" s="101" t="s">
        <v>65</v>
      </c>
      <c r="C4" s="103">
        <f>'Market Sizing_updated'!B14</f>
        <v>370240</v>
      </c>
      <c r="D4" s="103">
        <f>C4*(1+D21)</f>
        <v>740480</v>
      </c>
      <c r="E4" s="103">
        <f>D4*(1+E21)</f>
        <v>1110720</v>
      </c>
      <c r="F4" s="103">
        <f>E4*(1+F21)</f>
        <v>1388400</v>
      </c>
      <c r="G4" s="103">
        <f>F4*(1+G21)</f>
        <v>1596659.9999999998</v>
      </c>
    </row>
    <row r="5" spans="2:7" ht="15" customHeight="1">
      <c r="B5" s="77" t="s">
        <v>12</v>
      </c>
      <c r="C5" s="78">
        <f>(C3*12)*C4</f>
        <v>8841331.1999999993</v>
      </c>
      <c r="D5" s="78">
        <f>D3*D4*D19</f>
        <v>17682662.399999999</v>
      </c>
      <c r="E5" s="78">
        <f>E3*E4*E19</f>
        <v>26523993.599999998</v>
      </c>
      <c r="F5" s="78">
        <f>F3*F4*F19</f>
        <v>49815792.000000007</v>
      </c>
      <c r="G5" s="78">
        <f>G3*G4*G19</f>
        <v>57288160.799999997</v>
      </c>
    </row>
    <row r="6" spans="2:7" ht="15" customHeight="1">
      <c r="B6" s="104" t="s">
        <v>141</v>
      </c>
      <c r="C6" s="105" t="s">
        <v>142</v>
      </c>
      <c r="D6" s="106">
        <f t="shared" ref="D6:G6" si="0">D5/C5-1</f>
        <v>1</v>
      </c>
      <c r="E6" s="106">
        <f t="shared" si="0"/>
        <v>0.5</v>
      </c>
      <c r="F6" s="106">
        <f t="shared" si="0"/>
        <v>0.87814070351758833</v>
      </c>
      <c r="G6" s="106">
        <f t="shared" si="0"/>
        <v>0.14999999999999969</v>
      </c>
    </row>
    <row r="8" spans="2:7" ht="15" customHeight="1">
      <c r="B8" s="75" t="s">
        <v>143</v>
      </c>
      <c r="C8" s="81">
        <f>'Year 1'!E40</f>
        <v>4099778.9959999998</v>
      </c>
      <c r="D8" s="81">
        <f>'Year 2'!E40</f>
        <v>5186220.4299400002</v>
      </c>
      <c r="E8" s="81">
        <f>'Year 3'!E40</f>
        <v>8185208.7655140003</v>
      </c>
      <c r="F8" s="81">
        <f>'Year 4'!E40</f>
        <v>9549410.2264330033</v>
      </c>
      <c r="G8" s="81">
        <f>'Year 5'!E40</f>
        <v>11404724.213282844</v>
      </c>
    </row>
    <row r="9" spans="2:7" ht="15" customHeight="1">
      <c r="B9" s="75" t="s">
        <v>29</v>
      </c>
      <c r="C9" s="81">
        <f>'Year 1'!F46</f>
        <v>500000</v>
      </c>
      <c r="D9" s="81">
        <f t="shared" ref="D9:G9" si="1">$C$9</f>
        <v>500000</v>
      </c>
      <c r="E9" s="81">
        <f t="shared" si="1"/>
        <v>500000</v>
      </c>
      <c r="F9" s="81">
        <f t="shared" si="1"/>
        <v>500000</v>
      </c>
      <c r="G9" s="81">
        <f t="shared" si="1"/>
        <v>500000</v>
      </c>
    </row>
    <row r="10" spans="2:7" ht="15" customHeight="1">
      <c r="B10" s="75" t="s">
        <v>144</v>
      </c>
      <c r="C10" s="81">
        <v>5000</v>
      </c>
      <c r="D10" s="81">
        <v>5000</v>
      </c>
      <c r="E10" s="81">
        <v>5000</v>
      </c>
      <c r="F10" s="81">
        <v>5000</v>
      </c>
      <c r="G10" s="81">
        <v>5000</v>
      </c>
    </row>
    <row r="11" spans="2:7" ht="15" customHeight="1">
      <c r="B11" s="101" t="s">
        <v>145</v>
      </c>
      <c r="C11" s="107">
        <f>'Year 1'!F66</f>
        <v>30337980</v>
      </c>
      <c r="D11" s="107">
        <f>'Year 2'!F66</f>
        <v>30446241.489999998</v>
      </c>
      <c r="E11" s="107">
        <f>'Year 3'!F66</f>
        <v>29365547.7432</v>
      </c>
      <c r="F11" s="107">
        <f>'Year 4'!F66</f>
        <v>30513806.038940798</v>
      </c>
      <c r="G11" s="107">
        <f>'Year 5'!F66</f>
        <v>25995499.044655535</v>
      </c>
    </row>
    <row r="12" spans="2:7" ht="15" customHeight="1">
      <c r="B12" s="75" t="s">
        <v>47</v>
      </c>
      <c r="C12" s="81">
        <f t="shared" ref="C12:G12" si="2">SUM(C8:C11)</f>
        <v>34942758.995999999</v>
      </c>
      <c r="D12" s="81">
        <f t="shared" si="2"/>
        <v>36137461.919939995</v>
      </c>
      <c r="E12" s="81">
        <f t="shared" si="2"/>
        <v>38055756.508714005</v>
      </c>
      <c r="F12" s="81">
        <f t="shared" si="2"/>
        <v>40568216.265373804</v>
      </c>
      <c r="G12" s="81">
        <f t="shared" si="2"/>
        <v>37905223.257938378</v>
      </c>
    </row>
    <row r="14" spans="2:7" ht="15" customHeight="1" thickBot="1">
      <c r="B14" s="108" t="s">
        <v>146</v>
      </c>
      <c r="C14" s="109">
        <f t="shared" ref="C14:G14" si="3">C5-C12</f>
        <v>-26101427.796</v>
      </c>
      <c r="D14" s="109">
        <f t="shared" si="3"/>
        <v>-18454799.519939996</v>
      </c>
      <c r="E14" s="109">
        <f t="shared" si="3"/>
        <v>-11531762.908714008</v>
      </c>
      <c r="F14" s="109">
        <f t="shared" si="3"/>
        <v>9247575.7346262038</v>
      </c>
      <c r="G14" s="109">
        <f t="shared" si="3"/>
        <v>19382937.542061619</v>
      </c>
    </row>
    <row r="15" spans="2:7" ht="15" customHeight="1" thickTop="1">
      <c r="C15" s="81">
        <f>C5/C12</f>
        <v>0.25302327160291183</v>
      </c>
    </row>
    <row r="19" spans="2:7" ht="15" customHeight="1">
      <c r="B19" s="110" t="s">
        <v>147</v>
      </c>
      <c r="C19" s="75">
        <v>12</v>
      </c>
      <c r="D19" s="75">
        <f t="shared" ref="D19:G19" si="4">C19</f>
        <v>12</v>
      </c>
      <c r="E19" s="75">
        <f t="shared" si="4"/>
        <v>12</v>
      </c>
      <c r="F19" s="75">
        <f t="shared" si="4"/>
        <v>12</v>
      </c>
      <c r="G19" s="75">
        <f t="shared" si="4"/>
        <v>12</v>
      </c>
    </row>
    <row r="20" spans="2:7" ht="15" customHeight="1">
      <c r="B20" s="75" t="s">
        <v>148</v>
      </c>
      <c r="C20" s="82" t="s">
        <v>142</v>
      </c>
      <c r="D20" s="84">
        <v>0.05</v>
      </c>
      <c r="E20" s="84">
        <v>0.05</v>
      </c>
      <c r="F20" s="84">
        <v>0.04</v>
      </c>
      <c r="G20" s="84">
        <v>0.03</v>
      </c>
    </row>
    <row r="21" spans="2:7" ht="15" customHeight="1">
      <c r="B21" s="75" t="s">
        <v>149</v>
      </c>
      <c r="C21" s="82" t="s">
        <v>142</v>
      </c>
      <c r="D21" s="111">
        <v>1</v>
      </c>
      <c r="E21" s="111">
        <v>0.5</v>
      </c>
      <c r="F21" s="111">
        <v>0.25</v>
      </c>
      <c r="G21" s="111">
        <v>0.15</v>
      </c>
    </row>
    <row r="23" spans="2:7" ht="15" customHeight="1">
      <c r="B23" t="s">
        <v>160</v>
      </c>
    </row>
    <row r="24" spans="2:7" ht="15" customHeight="1">
      <c r="B24" t="s">
        <v>161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1000"/>
  <sheetViews>
    <sheetView workbookViewId="0"/>
  </sheetViews>
  <sheetFormatPr baseColWidth="10" defaultColWidth="12.6640625" defaultRowHeight="15" customHeight="1"/>
  <cols>
    <col min="1" max="26" width="14.5" customWidth="1"/>
  </cols>
  <sheetData>
    <row r="1" spans="1:1" ht="15.75" customHeight="1">
      <c r="A1" s="112" t="s">
        <v>150</v>
      </c>
    </row>
    <row r="2" spans="1:1" ht="15.75" customHeight="1">
      <c r="A2" s="113">
        <v>1000</v>
      </c>
    </row>
    <row r="3" spans="1:1" ht="15.75" customHeight="1">
      <c r="A3" s="113">
        <v>50000</v>
      </c>
    </row>
    <row r="4" spans="1:1" ht="15.75" customHeight="1">
      <c r="A4" s="113">
        <v>100000</v>
      </c>
    </row>
    <row r="5" spans="1:1" ht="15.75" customHeight="1">
      <c r="A5" s="113">
        <v>500000</v>
      </c>
    </row>
    <row r="6" spans="1:1" ht="15.75" customHeight="1"/>
    <row r="7" spans="1:1" ht="15.75" customHeight="1"/>
    <row r="8" spans="1:1" ht="15.75" customHeight="1"/>
    <row r="9" spans="1:1" ht="15.75" customHeight="1"/>
    <row r="10" spans="1:1" ht="15.75" customHeight="1"/>
    <row r="11" spans="1:1" ht="15.75" customHeight="1"/>
    <row r="12" spans="1:1" ht="15.75" customHeight="1"/>
    <row r="13" spans="1:1" ht="15.75" customHeight="1"/>
    <row r="14" spans="1:1" ht="15.75" customHeight="1"/>
    <row r="15" spans="1:1" ht="15.75" customHeight="1"/>
    <row r="16" spans="1: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Example</vt:lpstr>
      <vt:lpstr>Market Sizing</vt:lpstr>
      <vt:lpstr>Market Sizing_updated</vt:lpstr>
      <vt:lpstr>Year 1</vt:lpstr>
      <vt:lpstr>Year 2</vt:lpstr>
      <vt:lpstr>Year 3</vt:lpstr>
      <vt:lpstr>Year 4</vt:lpstr>
      <vt:lpstr>Year 5</vt:lpstr>
      <vt:lpstr>Financial Statement</vt:lpstr>
      <vt:lpstr>Financial Statement (2)</vt:lpstr>
      <vt:lpstr>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2022-10-15T20:04:34Z</dcterms:created>
  <dcterms:modified xsi:type="dcterms:W3CDTF">2023-02-22T00:15:04Z</dcterms:modified>
</cp:coreProperties>
</file>