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https://uscedu-my.sharepoint.com/personal/mkavishw_usc_edu/Documents/"/>
    </mc:Choice>
  </mc:AlternateContent>
  <xr:revisionPtr revIDLastSave="1193" documentId="14_{2619B6BF-ABC3-FC49-BF35-4A4D2494987C}" xr6:coauthVersionLast="47" xr6:coauthVersionMax="47" xr10:uidLastSave="{9FBBB1EC-5D1E-D54C-B0FC-877DA262910E}"/>
  <bookViews>
    <workbookView xWindow="0" yWindow="0" windowWidth="25600" windowHeight="16000" activeTab="1" xr2:uid="{00000000-000D-0000-FFFF-FFFF00000000}"/>
  </bookViews>
  <sheets>
    <sheet name="Financial Projections" sheetId="1" r:id="rId1"/>
    <sheet name="Breakdown and References Year 1" sheetId="4" r:id="rId2"/>
    <sheet name="Breakdown and References Year 2" sheetId="5" r:id="rId3"/>
    <sheet name="Breakdown and References Year 3" sheetId="6" r:id="rId4"/>
    <sheet name="Variables" sheetId="3" state="hidden" r:id="rId5"/>
  </sheets>
  <definedNames>
    <definedName name="CAC_Values">#REF!</definedName>
    <definedName name="Channels_CAC">#REF!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6" i="1" l="1"/>
  <c r="AB16" i="1"/>
  <c r="Z16" i="1"/>
  <c r="C4" i="6"/>
  <c r="E11" i="6"/>
  <c r="E3" i="6"/>
  <c r="F48" i="6"/>
  <c r="E43" i="6"/>
  <c r="F43" i="6" s="1"/>
  <c r="F40" i="6"/>
  <c r="E39" i="6"/>
  <c r="E41" i="6" s="1"/>
  <c r="F41" i="6" s="1"/>
  <c r="E38" i="6"/>
  <c r="F38" i="6" s="1"/>
  <c r="F37" i="6"/>
  <c r="F34" i="6"/>
  <c r="F33" i="6"/>
  <c r="E32" i="6"/>
  <c r="F32" i="6" s="1"/>
  <c r="F35" i="6" s="1"/>
  <c r="E29" i="6"/>
  <c r="F29" i="6" s="1"/>
  <c r="E27" i="6"/>
  <c r="F27" i="6" s="1"/>
  <c r="F24" i="6"/>
  <c r="F25" i="6" s="1"/>
  <c r="F21" i="6"/>
  <c r="E21" i="6"/>
  <c r="E20" i="6"/>
  <c r="F20" i="6" s="1"/>
  <c r="C19" i="6"/>
  <c r="F19" i="6" s="1"/>
  <c r="F22" i="6" s="1"/>
  <c r="F14" i="6"/>
  <c r="F13" i="6"/>
  <c r="F12" i="6"/>
  <c r="F11" i="6"/>
  <c r="F17" i="6" s="1"/>
  <c r="C11" i="6"/>
  <c r="E7" i="6"/>
  <c r="F7" i="6" s="1"/>
  <c r="C7" i="6"/>
  <c r="E6" i="6"/>
  <c r="F6" i="6" s="1"/>
  <c r="C6" i="6"/>
  <c r="E5" i="6"/>
  <c r="F5" i="6" s="1"/>
  <c r="E4" i="6"/>
  <c r="F4" i="6" s="1"/>
  <c r="F8" i="6" s="1"/>
  <c r="F3" i="6"/>
  <c r="F8" i="5"/>
  <c r="T24" i="1"/>
  <c r="N24" i="1"/>
  <c r="F24" i="1"/>
  <c r="Z14" i="1" s="1"/>
  <c r="F8" i="4"/>
  <c r="E11" i="5"/>
  <c r="C4" i="5"/>
  <c r="F48" i="5"/>
  <c r="F40" i="5"/>
  <c r="F39" i="5"/>
  <c r="E39" i="5"/>
  <c r="E41" i="5" s="1"/>
  <c r="F41" i="5" s="1"/>
  <c r="F38" i="5"/>
  <c r="E38" i="5"/>
  <c r="F37" i="5"/>
  <c r="F34" i="5"/>
  <c r="F33" i="5"/>
  <c r="E32" i="5"/>
  <c r="F32" i="5" s="1"/>
  <c r="F35" i="5" s="1"/>
  <c r="F24" i="5"/>
  <c r="F25" i="5" s="1"/>
  <c r="F21" i="5"/>
  <c r="E21" i="5"/>
  <c r="E20" i="5"/>
  <c r="F20" i="5" s="1"/>
  <c r="C19" i="5"/>
  <c r="F19" i="5" s="1"/>
  <c r="F22" i="5" s="1"/>
  <c r="F14" i="5"/>
  <c r="F13" i="5"/>
  <c r="F12" i="5"/>
  <c r="F11" i="5"/>
  <c r="F17" i="5" s="1"/>
  <c r="C11" i="5"/>
  <c r="C7" i="5"/>
  <c r="E6" i="5"/>
  <c r="F6" i="5" s="1"/>
  <c r="C6" i="5"/>
  <c r="E5" i="5"/>
  <c r="F5" i="5" s="1"/>
  <c r="E4" i="5"/>
  <c r="F3" i="5"/>
  <c r="AB15" i="1"/>
  <c r="AA15" i="1"/>
  <c r="Z15" i="1"/>
  <c r="AB14" i="1"/>
  <c r="AA14" i="1"/>
  <c r="E32" i="4"/>
  <c r="E64" i="1" s="1"/>
  <c r="M64" i="1" s="1"/>
  <c r="S64" i="1" s="1"/>
  <c r="E5" i="4"/>
  <c r="E7" i="4" s="1"/>
  <c r="F7" i="4" s="1"/>
  <c r="C7" i="4"/>
  <c r="S65" i="1"/>
  <c r="M65" i="1"/>
  <c r="L61" i="1"/>
  <c r="Q62" i="1"/>
  <c r="Q63" i="1"/>
  <c r="Q64" i="1"/>
  <c r="Q65" i="1"/>
  <c r="Q61" i="1"/>
  <c r="K62" i="1"/>
  <c r="K63" i="1"/>
  <c r="K64" i="1"/>
  <c r="K65" i="1"/>
  <c r="K61" i="1"/>
  <c r="D64" i="1"/>
  <c r="L64" i="1" s="1"/>
  <c r="D63" i="1"/>
  <c r="L63" i="1" s="1"/>
  <c r="D62" i="1"/>
  <c r="L62" i="1" s="1"/>
  <c r="D61" i="1"/>
  <c r="R61" i="1" s="1"/>
  <c r="F23" i="1"/>
  <c r="N23" i="1" s="1"/>
  <c r="T23" i="1" s="1"/>
  <c r="F19" i="1"/>
  <c r="T19" i="1" s="1"/>
  <c r="C11" i="4"/>
  <c r="E34" i="1" s="1"/>
  <c r="E11" i="4"/>
  <c r="F34" i="1" s="1"/>
  <c r="F13" i="4"/>
  <c r="F12" i="4"/>
  <c r="F14" i="4"/>
  <c r="E21" i="4"/>
  <c r="E42" i="6" l="1"/>
  <c r="F42" i="6" s="1"/>
  <c r="F39" i="6"/>
  <c r="F44" i="6" s="1"/>
  <c r="E28" i="6"/>
  <c r="F28" i="6" s="1"/>
  <c r="F30" i="6" s="1"/>
  <c r="F49" i="6" s="1"/>
  <c r="F50" i="6" s="1"/>
  <c r="F4" i="5"/>
  <c r="E7" i="5"/>
  <c r="F7" i="5" s="1"/>
  <c r="E27" i="5"/>
  <c r="F27" i="5" s="1"/>
  <c r="E29" i="5"/>
  <c r="F29" i="5" s="1"/>
  <c r="E42" i="5"/>
  <c r="F42" i="5" s="1"/>
  <c r="F44" i="5" s="1"/>
  <c r="E43" i="5"/>
  <c r="F43" i="5" s="1"/>
  <c r="E28" i="5"/>
  <c r="F28" i="5" s="1"/>
  <c r="F30" i="5" s="1"/>
  <c r="F49" i="5" s="1"/>
  <c r="S34" i="1"/>
  <c r="M34" i="1"/>
  <c r="N19" i="1"/>
  <c r="R64" i="1"/>
  <c r="T64" i="1" s="1"/>
  <c r="R63" i="1"/>
  <c r="R62" i="1"/>
  <c r="F11" i="4"/>
  <c r="F17" i="4" s="1"/>
  <c r="E20" i="4"/>
  <c r="F20" i="4" s="1"/>
  <c r="F21" i="4"/>
  <c r="C19" i="4"/>
  <c r="F19" i="4" s="1"/>
  <c r="C4" i="4"/>
  <c r="F21" i="1" s="1"/>
  <c r="N21" i="1" s="1"/>
  <c r="T21" i="1" s="1"/>
  <c r="F33" i="4"/>
  <c r="F34" i="4"/>
  <c r="D65" i="1" s="1"/>
  <c r="F65" i="1" s="1"/>
  <c r="F32" i="4"/>
  <c r="F24" i="4"/>
  <c r="F25" i="4" s="1"/>
  <c r="F54" i="1" s="1"/>
  <c r="N54" i="1" s="1"/>
  <c r="T54" i="1" s="1"/>
  <c r="E6" i="4"/>
  <c r="F6" i="4" s="1"/>
  <c r="C6" i="4"/>
  <c r="F5" i="4"/>
  <c r="F37" i="4"/>
  <c r="E38" i="4"/>
  <c r="F38" i="4" s="1"/>
  <c r="F48" i="4"/>
  <c r="E39" i="4"/>
  <c r="E43" i="4" s="1"/>
  <c r="F43" i="4" s="1"/>
  <c r="F40" i="4"/>
  <c r="F3" i="4"/>
  <c r="E4" i="4"/>
  <c r="N34" i="1"/>
  <c r="T34" i="1" s="1"/>
  <c r="E35" i="1"/>
  <c r="E42" i="1" s="1"/>
  <c r="Q19" i="1"/>
  <c r="K19" i="1"/>
  <c r="Q18" i="1"/>
  <c r="K18" i="1"/>
  <c r="T67" i="1"/>
  <c r="T66" i="1"/>
  <c r="N67" i="1"/>
  <c r="N66" i="1"/>
  <c r="N64" i="1"/>
  <c r="F67" i="1"/>
  <c r="F66" i="1"/>
  <c r="F64" i="1"/>
  <c r="F50" i="5" l="1"/>
  <c r="L65" i="1"/>
  <c r="N65" i="1" s="1"/>
  <c r="R65" i="1"/>
  <c r="T65" i="1" s="1"/>
  <c r="E28" i="4"/>
  <c r="E27" i="4"/>
  <c r="E29" i="4"/>
  <c r="M35" i="1"/>
  <c r="M42" i="1" s="1"/>
  <c r="F35" i="4"/>
  <c r="F22" i="4"/>
  <c r="F48" i="1" s="1"/>
  <c r="N48" i="1" s="1"/>
  <c r="T48" i="1" s="1"/>
  <c r="F4" i="4"/>
  <c r="F39" i="4"/>
  <c r="E41" i="4"/>
  <c r="F41" i="4" s="1"/>
  <c r="E42" i="4"/>
  <c r="F42" i="4" s="1"/>
  <c r="S35" i="1"/>
  <c r="S42" i="1" s="1"/>
  <c r="E63" i="1" l="1"/>
  <c r="F29" i="4"/>
  <c r="E61" i="1"/>
  <c r="M61" i="1" s="1"/>
  <c r="S61" i="1" s="1"/>
  <c r="F27" i="4"/>
  <c r="F28" i="4"/>
  <c r="E62" i="1"/>
  <c r="F44" i="4"/>
  <c r="F30" i="4" l="1"/>
  <c r="F49" i="4" s="1"/>
  <c r="F50" i="4" s="1"/>
  <c r="F62" i="1"/>
  <c r="M62" i="1"/>
  <c r="S62" i="1" s="1"/>
  <c r="F63" i="1"/>
  <c r="M63" i="1"/>
  <c r="F61" i="1"/>
  <c r="F68" i="1" s="1"/>
  <c r="F69" i="1" s="1"/>
  <c r="C80" i="1" l="1"/>
  <c r="D80" i="1" s="1"/>
  <c r="F80" i="1" s="1"/>
  <c r="S63" i="1"/>
  <c r="T63" i="1" s="1"/>
  <c r="N63" i="1"/>
  <c r="N61" i="1"/>
  <c r="N62" i="1"/>
  <c r="N68" i="1" l="1"/>
  <c r="N69" i="1" s="1"/>
  <c r="T62" i="1"/>
  <c r="T61" i="1"/>
  <c r="K80" i="1" l="1"/>
  <c r="L80" i="1" s="1"/>
  <c r="N80" i="1" s="1"/>
  <c r="T68" i="1"/>
  <c r="T69" i="1" s="1"/>
  <c r="Q80" i="1" l="1"/>
  <c r="R80" i="1" s="1"/>
  <c r="T80" i="1" s="1"/>
</calcChain>
</file>

<file path=xl/sharedStrings.xml><?xml version="1.0" encoding="utf-8"?>
<sst xmlns="http://schemas.openxmlformats.org/spreadsheetml/2006/main" count="564" uniqueCount="158">
  <si>
    <t>Basic Financial Inventory</t>
  </si>
  <si>
    <t>How will you make &amp; spend money?</t>
  </si>
  <si>
    <t>YEAR 1</t>
  </si>
  <si>
    <t>YEAR 2</t>
  </si>
  <si>
    <t>YEAR 3</t>
  </si>
  <si>
    <t>Annual Revenue</t>
  </si>
  <si>
    <t>Customer Annual Value</t>
  </si>
  <si>
    <t>How much revenue do you estimate your company will make for each customer?</t>
  </si>
  <si>
    <t>Product Price</t>
  </si>
  <si>
    <t>%</t>
  </si>
  <si>
    <t>Annual Purchases</t>
  </si>
  <si>
    <t>$ Purchases</t>
  </si>
  <si>
    <t>Amount of purchases an average customer will make in a year.</t>
  </si>
  <si>
    <t>Number of purchases an average customer will make in a year.</t>
  </si>
  <si>
    <t>Number of Customers</t>
  </si>
  <si>
    <t>Total Revenue</t>
  </si>
  <si>
    <t>Annual Expenses</t>
  </si>
  <si>
    <t>Salaries</t>
  </si>
  <si>
    <t>What will your future full time employees salary (and yours) be?</t>
  </si>
  <si>
    <t>Average Salary</t>
  </si>
  <si>
    <t>Salary</t>
  </si>
  <si>
    <t>Team Size</t>
  </si>
  <si>
    <t>What's the average salary you and your team members will make each year?</t>
  </si>
  <si>
    <t>Subtotal - Salaries</t>
  </si>
  <si>
    <t>Taxes</t>
  </si>
  <si>
    <t>Benefits Package</t>
  </si>
  <si>
    <t>Total Compensation</t>
  </si>
  <si>
    <t>Marketing</t>
  </si>
  <si>
    <t>How much do you estimate your company will need to spend to acquire customers?</t>
  </si>
  <si>
    <t>Marketing Costs</t>
  </si>
  <si>
    <t>$</t>
  </si>
  <si>
    <t>How much do you estimate your company will spend to operate?</t>
  </si>
  <si>
    <t>Administration</t>
  </si>
  <si>
    <t>Operative</t>
  </si>
  <si>
    <t>Since this information is very specifically related to your kind of business, you should google for it. For instance, if you are in the food industry, to have an idea, you could google for “how much inventory should a restaurant carry”, or "average inventory turnover ratio for restaurant food", and so on.</t>
  </si>
  <si>
    <t>Expense</t>
  </si>
  <si>
    <t>Unit Cost</t>
  </si>
  <si>
    <t>Units</t>
  </si>
  <si>
    <t>Total</t>
  </si>
  <si>
    <t>Subtotal - Operative Expenses</t>
  </si>
  <si>
    <t>Total Expenses</t>
  </si>
  <si>
    <t>Summary</t>
  </si>
  <si>
    <t>Year</t>
  </si>
  <si>
    <t>Month</t>
  </si>
  <si>
    <t>Day</t>
  </si>
  <si>
    <t>Is that feasible?</t>
  </si>
  <si>
    <t>If not, make adjustments as necessary.</t>
  </si>
  <si>
    <t>Marketing Cost Options</t>
  </si>
  <si>
    <t>Price for end customers</t>
  </si>
  <si>
    <r>
      <rPr>
        <sz val="18"/>
        <color rgb="FF000000"/>
        <rFont val="Calibri"/>
        <family val="2"/>
        <scheme val="minor"/>
      </rPr>
      <t xml:space="preserve">Consider about </t>
    </r>
    <r>
      <rPr>
        <b/>
        <sz val="18"/>
        <color rgb="FF000000"/>
        <rFont val="Calibri"/>
        <family val="2"/>
        <scheme val="minor"/>
      </rPr>
      <t>33%</t>
    </r>
    <r>
      <rPr>
        <sz val="18"/>
        <color rgb="FF000000"/>
        <rFont val="Calibri"/>
        <family val="2"/>
        <scheme val="minor"/>
      </rPr>
      <t xml:space="preserve"> of the net salary (25% of gross salary) for: Federal taxes, Social Security and Medicare taxes.
</t>
    </r>
    <r>
      <rPr>
        <i/>
        <sz val="18"/>
        <color rgb="FF666666"/>
        <rFont val="Calibri"/>
        <family val="2"/>
        <scheme val="minor"/>
      </rPr>
      <t xml:space="preserve">
For specific and detailed calculations, expand the </t>
    </r>
    <r>
      <rPr>
        <b/>
        <sz val="18"/>
        <color rgb="FF666666"/>
        <rFont val="Calibri"/>
        <family val="2"/>
        <scheme val="minor"/>
      </rPr>
      <t>+</t>
    </r>
    <r>
      <rPr>
        <i/>
        <sz val="18"/>
        <color rgb="FF666666"/>
        <rFont val="Calibri"/>
        <family val="2"/>
        <scheme val="minor"/>
      </rPr>
      <t xml:space="preserve"> here on the left side column.</t>
    </r>
  </si>
  <si>
    <r>
      <rPr>
        <b/>
        <sz val="18"/>
        <color rgb="FF666666"/>
        <rFont val="Calibri"/>
        <family val="2"/>
        <scheme val="minor"/>
      </rPr>
      <t xml:space="preserve">Resources:
</t>
    </r>
    <r>
      <rPr>
        <i/>
        <u/>
        <sz val="18"/>
        <color rgb="FF1155CC"/>
        <rFont val="Calibri"/>
        <family val="2"/>
        <scheme val="minor"/>
      </rPr>
      <t>https://www.thebalancesmb.com/payroll-taxes-3193126
http://web.mit.edu/e-club/hadzima/how-much-does-an-employee-cost.html</t>
    </r>
  </si>
  <si>
    <r>
      <rPr>
        <sz val="18"/>
        <color rgb="FF000000"/>
        <rFont val="Calibri"/>
        <family val="2"/>
        <scheme val="minor"/>
      </rPr>
      <t xml:space="preserve">Consider about </t>
    </r>
    <r>
      <rPr>
        <b/>
        <sz val="18"/>
        <color rgb="FF000000"/>
        <rFont val="Calibri"/>
        <family val="2"/>
        <scheme val="minor"/>
      </rPr>
      <t>30%</t>
    </r>
    <r>
      <rPr>
        <sz val="18"/>
        <color rgb="FF000000"/>
        <rFont val="Calibri"/>
        <family val="2"/>
        <scheme val="minor"/>
      </rPr>
      <t xml:space="preserve"> of the net salary for benefits costs, such as paid leave (vacation, holidays, sick leave and personal), average employer contribution to retirement, etc.</t>
    </r>
  </si>
  <si>
    <r>
      <rPr>
        <b/>
        <sz val="18"/>
        <color rgb="FF666666"/>
        <rFont val="Calibri"/>
        <family val="2"/>
        <scheme val="minor"/>
      </rPr>
      <t xml:space="preserve">Resources:
</t>
    </r>
    <r>
      <rPr>
        <i/>
        <u/>
        <sz val="18"/>
        <color rgb="FF1155CC"/>
        <rFont val="Calibri"/>
        <family val="2"/>
        <scheme val="minor"/>
      </rPr>
      <t>https://www.bankrate.com/finance/financial-literacy/the-value-of-employer-benefits.aspx
https://www.griffinbenefits.com/employeebenefitsblog/what-does-the-average-employer-spend-on-employee-benefits</t>
    </r>
  </si>
  <si>
    <r>
      <rPr>
        <sz val="18"/>
        <color rgb="FF000000"/>
        <rFont val="Calibri"/>
        <family val="2"/>
        <scheme val="minor"/>
      </rPr>
      <t xml:space="preserve">How big do you expect your marketing costs to be? Examples:
    $1,000 - Get a logo and a basic website
  $50,000 - Get all of the above plus </t>
    </r>
    <r>
      <rPr>
        <b/>
        <sz val="18"/>
        <color rgb="FF000000"/>
        <rFont val="Calibri"/>
        <family val="2"/>
        <scheme val="minor"/>
      </rPr>
      <t>advertising</t>
    </r>
    <r>
      <rPr>
        <sz val="18"/>
        <color rgb="FF000000"/>
        <rFont val="Calibri"/>
        <family val="2"/>
        <scheme val="minor"/>
      </rPr>
      <t xml:space="preserve">
$100,000 - Get all of the above plus a </t>
    </r>
    <r>
      <rPr>
        <b/>
        <sz val="18"/>
        <color rgb="FF000000"/>
        <rFont val="Calibri"/>
        <family val="2"/>
        <scheme val="minor"/>
      </rPr>
      <t>simple app</t>
    </r>
    <r>
      <rPr>
        <sz val="18"/>
        <color rgb="FF000000"/>
        <rFont val="Calibri"/>
        <family val="2"/>
        <scheme val="minor"/>
      </rPr>
      <t xml:space="preserve">
$500,000 - Get all of the above plus a </t>
    </r>
    <r>
      <rPr>
        <b/>
        <sz val="18"/>
        <color rgb="FF000000"/>
        <rFont val="Calibri"/>
        <family val="2"/>
        <scheme val="minor"/>
      </rPr>
      <t>complex</t>
    </r>
    <r>
      <rPr>
        <sz val="18"/>
        <color rgb="FF000000"/>
        <rFont val="Calibri"/>
        <family val="2"/>
        <scheme val="minor"/>
      </rPr>
      <t xml:space="preserve"> </t>
    </r>
    <r>
      <rPr>
        <b/>
        <sz val="18"/>
        <color rgb="FF000000"/>
        <rFont val="Calibri"/>
        <family val="2"/>
        <scheme val="minor"/>
      </rPr>
      <t>app</t>
    </r>
    <r>
      <rPr>
        <sz val="18"/>
        <color rgb="FF000000"/>
        <rFont val="Calibri"/>
        <family val="2"/>
        <scheme val="minor"/>
      </rPr>
      <t xml:space="preserve">
</t>
    </r>
  </si>
  <si>
    <r>
      <rPr>
        <b/>
        <sz val="18"/>
        <color rgb="FFFFFFFF"/>
        <rFont val="Calibri"/>
        <family val="2"/>
        <scheme val="minor"/>
      </rPr>
      <t>6</t>
    </r>
    <r>
      <rPr>
        <sz val="18"/>
        <color rgb="FFFFFFFF"/>
        <rFont val="Calibri"/>
        <family val="2"/>
        <scheme val="minor"/>
      </rPr>
      <t xml:space="preserve">. </t>
    </r>
    <r>
      <rPr>
        <b/>
        <sz val="18"/>
        <rFont val="Calibri"/>
        <family val="2"/>
        <scheme val="minor"/>
      </rPr>
      <t>Operational</t>
    </r>
  </si>
  <si>
    <r>
      <rPr>
        <sz val="18"/>
        <color rgb="FF000000"/>
        <rFont val="Calibri"/>
        <family val="2"/>
        <scheme val="minor"/>
      </rPr>
      <t xml:space="preserve">Legal, attorney, CPA/tax advisor and other professional consultants fees, insurances, etc... Consider about </t>
    </r>
    <r>
      <rPr>
        <b/>
        <sz val="18"/>
        <color rgb="FF000000"/>
        <rFont val="Calibri"/>
        <family val="2"/>
        <scheme val="minor"/>
      </rPr>
      <t>$5000</t>
    </r>
    <r>
      <rPr>
        <sz val="18"/>
        <color rgb="FF000000"/>
        <rFont val="Calibri"/>
        <family val="2"/>
        <scheme val="minor"/>
      </rPr>
      <t xml:space="preserve"> annually.
</t>
    </r>
    <r>
      <rPr>
        <i/>
        <sz val="18"/>
        <color rgb="FF666666"/>
        <rFont val="Calibri"/>
        <family val="2"/>
        <scheme val="minor"/>
      </rPr>
      <t xml:space="preserve">
For specific and detailed calculations, expand the </t>
    </r>
    <r>
      <rPr>
        <b/>
        <sz val="18"/>
        <color rgb="FF666666"/>
        <rFont val="Calibri"/>
        <family val="2"/>
        <scheme val="minor"/>
      </rPr>
      <t>+</t>
    </r>
    <r>
      <rPr>
        <i/>
        <sz val="18"/>
        <color rgb="FF666666"/>
        <rFont val="Calibri"/>
        <family val="2"/>
        <scheme val="minor"/>
      </rPr>
      <t xml:space="preserve"> here on the left side column.</t>
    </r>
  </si>
  <si>
    <r>
      <t xml:space="preserve">According to </t>
    </r>
    <r>
      <rPr>
        <i/>
        <u/>
        <sz val="18"/>
        <color rgb="FF1155CC"/>
        <rFont val="Calibri"/>
        <family val="2"/>
        <scheme val="minor"/>
      </rPr>
      <t>https://www.score.org/resource/infographic-look-accounting-and-taxes</t>
    </r>
    <r>
      <rPr>
        <i/>
        <sz val="18"/>
        <color rgb="FF666666"/>
        <rFont val="Calibri"/>
        <family val="2"/>
        <scheme val="minor"/>
      </rPr>
      <t xml:space="preserve"> :
23% of small business owners spend $1,000 or less
</t>
    </r>
    <r>
      <rPr>
        <i/>
        <sz val="18"/>
        <color rgb="FF76A5AF"/>
        <rFont val="Calibri"/>
        <family val="2"/>
        <scheme val="minor"/>
      </rPr>
      <t>31% Spend $1,000 to $5,000</t>
    </r>
    <r>
      <rPr>
        <i/>
        <sz val="18"/>
        <color rgb="FF666666"/>
        <rFont val="Calibri"/>
        <family val="2"/>
        <scheme val="minor"/>
      </rPr>
      <t xml:space="preserve">
18% Spend $5,000 to $10,000
</t>
    </r>
    <r>
      <rPr>
        <i/>
        <sz val="18"/>
        <color rgb="FF76A5AF"/>
        <rFont val="Calibri"/>
        <family val="2"/>
        <scheme val="minor"/>
      </rPr>
      <t xml:space="preserve">12% Spend $10,000 to $20,000
</t>
    </r>
    <r>
      <rPr>
        <i/>
        <sz val="18"/>
        <color rgb="FF666666"/>
        <rFont val="Calibri"/>
        <family val="2"/>
        <scheme val="minor"/>
      </rPr>
      <t>16% Spend $20,000 or more</t>
    </r>
  </si>
  <si>
    <r>
      <rPr>
        <b/>
        <sz val="18"/>
        <color rgb="FF666666"/>
        <rFont val="Calibri"/>
        <family val="2"/>
        <scheme val="minor"/>
      </rPr>
      <t>Resources:</t>
    </r>
    <r>
      <rPr>
        <sz val="18"/>
        <color rgb="FF666666"/>
        <rFont val="Calibri"/>
        <family val="2"/>
        <scheme val="minor"/>
      </rPr>
      <t xml:space="preserve">
</t>
    </r>
    <r>
      <rPr>
        <b/>
        <sz val="18"/>
        <color rgb="FF666666"/>
        <rFont val="Calibri"/>
        <family val="2"/>
        <scheme val="minor"/>
      </rPr>
      <t xml:space="preserve">CPA, Accountant
</t>
    </r>
    <r>
      <rPr>
        <i/>
        <u/>
        <sz val="18"/>
        <color rgb="FF1155CC"/>
        <rFont val="Calibri"/>
        <family val="2"/>
        <scheme val="minor"/>
      </rPr>
      <t>https://www.cpapracticeadvisor.com/news/12300091/survey-shows-average-fees-for-accounting-tax-firm-services-for-2017
https://baranovcpa.ca/how-much-do-accountants-charge-for-a-small-business/</t>
    </r>
    <r>
      <rPr>
        <i/>
        <sz val="18"/>
        <color rgb="FF666666"/>
        <rFont val="Calibri"/>
        <family val="2"/>
        <scheme val="minor"/>
      </rPr>
      <t xml:space="preserve">
</t>
    </r>
    <r>
      <rPr>
        <b/>
        <sz val="18"/>
        <color rgb="FF666666"/>
        <rFont val="Calibri"/>
        <family val="2"/>
        <scheme val="minor"/>
      </rPr>
      <t>Insurances</t>
    </r>
    <r>
      <rPr>
        <i/>
        <sz val="18"/>
        <color rgb="FF666666"/>
        <rFont val="Calibri"/>
        <family val="2"/>
        <scheme val="minor"/>
      </rPr>
      <t xml:space="preserve">
</t>
    </r>
    <r>
      <rPr>
        <i/>
        <u/>
        <sz val="18"/>
        <color rgb="FF1155CC"/>
        <rFont val="Calibri"/>
        <family val="2"/>
        <scheme val="minor"/>
      </rPr>
      <t>https://www.insureon.com/small-business-insurance/general-liability/cost
https://fitsmallbusiness.com/commercial-property-insurance/</t>
    </r>
  </si>
  <si>
    <r>
      <rPr>
        <sz val="18"/>
        <color rgb="FF000000"/>
        <rFont val="Calibri"/>
        <family val="2"/>
        <scheme val="minor"/>
      </rPr>
      <t xml:space="preserve">Inventory, raw materials, parts, equipment lease payments, etc...
</t>
    </r>
    <r>
      <rPr>
        <i/>
        <sz val="18"/>
        <color rgb="FF666666"/>
        <rFont val="Calibri"/>
        <family val="2"/>
        <scheme val="minor"/>
      </rPr>
      <t xml:space="preserve">
For tips, expand the </t>
    </r>
    <r>
      <rPr>
        <b/>
        <sz val="18"/>
        <color rgb="FF666666"/>
        <rFont val="Calibri"/>
        <family val="2"/>
        <scheme val="minor"/>
      </rPr>
      <t>+</t>
    </r>
    <r>
      <rPr>
        <i/>
        <sz val="18"/>
        <color rgb="FF666666"/>
        <rFont val="Calibri"/>
        <family val="2"/>
        <scheme val="minor"/>
      </rPr>
      <t xml:space="preserve"> here on the left side column.</t>
    </r>
  </si>
  <si>
    <r>
      <rPr>
        <sz val="18"/>
        <color rgb="FF000000"/>
        <rFont val="Calibri"/>
        <family val="2"/>
        <scheme val="minor"/>
      </rPr>
      <t>On average, you'll need this many new customers per...</t>
    </r>
    <r>
      <rPr>
        <i/>
        <sz val="18"/>
        <color rgb="FFFFFFFF"/>
        <rFont val="Calibri"/>
        <family val="2"/>
        <scheme val="minor"/>
      </rPr>
      <t xml:space="preserve">
</t>
    </r>
    <r>
      <rPr>
        <i/>
        <sz val="18"/>
        <color rgb="FF777777"/>
        <rFont val="Calibri"/>
        <family val="2"/>
        <scheme val="minor"/>
      </rPr>
      <t>to be profitable</t>
    </r>
  </si>
  <si>
    <t>Price for merchants</t>
  </si>
  <si>
    <t>Entity</t>
  </si>
  <si>
    <t>Card production cost</t>
  </si>
  <si>
    <t>Shipping</t>
  </si>
  <si>
    <t>Packaging</t>
  </si>
  <si>
    <t xml:space="preserve">Firebase </t>
  </si>
  <si>
    <t>AWS - (size per account)</t>
  </si>
  <si>
    <t>Base Price</t>
  </si>
  <si>
    <t>Card Development (Outsourced)</t>
  </si>
  <si>
    <t>Digital Development (In-house)</t>
  </si>
  <si>
    <t>Revenue</t>
  </si>
  <si>
    <t>Legal and Financial Services (Outsourced)</t>
  </si>
  <si>
    <t>Marketing (In-house using social media tools)</t>
  </si>
  <si>
    <t>Rate (%)</t>
  </si>
  <si>
    <t>Expenses</t>
  </si>
  <si>
    <t>Net Margin (Revenue - Expenses)</t>
  </si>
  <si>
    <t>Size/ Quantity</t>
  </si>
  <si>
    <t>Google Search</t>
  </si>
  <si>
    <t>YouTube</t>
  </si>
  <si>
    <t>Research and Development - POS (Point of Sale Device) Prototype</t>
  </si>
  <si>
    <t>POS - Hardware Design</t>
  </si>
  <si>
    <t>POS - Manufacturing Cost</t>
  </si>
  <si>
    <t>POS - Certification</t>
  </si>
  <si>
    <t>POS - Shipping</t>
  </si>
  <si>
    <t>POS - Packaging</t>
  </si>
  <si>
    <t>POS - Selling on Amazon</t>
  </si>
  <si>
    <t>Additional Software Security</t>
  </si>
  <si>
    <t>Logo and Website Design</t>
  </si>
  <si>
    <t>Retail price for end customers</t>
  </si>
  <si>
    <t>Cost/Price (or average) per unit ($)</t>
  </si>
  <si>
    <t>Hardware cost for Prototype development (Prices from amazon)</t>
  </si>
  <si>
    <t>Reference Hyperlinks</t>
  </si>
  <si>
    <t>Point of Sale Device (Note: These are future development costs not included in the current plan)</t>
  </si>
  <si>
    <t>NA</t>
  </si>
  <si>
    <t>Legal, Attorney and financial advisor</t>
  </si>
  <si>
    <t>Benefits</t>
  </si>
  <si>
    <t>Net Total</t>
  </si>
  <si>
    <t>Comments</t>
  </si>
  <si>
    <t>Comparing Venmo (1.75%), apple pay (1.7%)</t>
  </si>
  <si>
    <t xml:space="preserve">https://merchantcostconsulting.com/lower-credit-card-processing-fees/paypal-and-venmo-fees-rate-increases-and-updates/ </t>
  </si>
  <si>
    <t>https://www.applemust.com/how-apple-pay-makes-money-merchant-transaction-fees/</t>
  </si>
  <si>
    <t>https://www.invisibly.com/learn-blog/how-much-is-data-worth/</t>
  </si>
  <si>
    <t>Average banking data per user 9.52$</t>
  </si>
  <si>
    <t>Additional</t>
  </si>
  <si>
    <t>Price for Physical card delivery</t>
  </si>
  <si>
    <t>https://www.paytmbank.com/ratesCharges</t>
  </si>
  <si>
    <t>Comparing to card issuance charges of similar company</t>
  </si>
  <si>
    <t>https://www.businessinsider.in/business/corporates/news/paytm-payments-bank-overachieved-its-target-of-issuing-visa-debit-cards-at-7-million-in-fy21-as-against-goal-of-1-million/articleshow/89918699.cms</t>
  </si>
  <si>
    <t>https://www.usps.com/ship/priority-mail.htm</t>
  </si>
  <si>
    <t>Design (In-house, not included in the expenses)</t>
  </si>
  <si>
    <t>https://www.k6agency.com/instagram-ads-cost/</t>
  </si>
  <si>
    <t>https://www.wordstream.com/blog/ws/2015/05/21/how-much-does-adwords-cost</t>
  </si>
  <si>
    <t>https://graphy.com/blog/youtube-ads-cost/</t>
  </si>
  <si>
    <t>https://firebase.google.com/pricing</t>
  </si>
  <si>
    <t>Not used initially where the customer count is low. Using a cheaper option till then.</t>
  </si>
  <si>
    <t xml:space="preserve">https://www.provendatarecovery.com/blog/cyber-security-cost-expenses-fees/ </t>
  </si>
  <si>
    <t>Facebook and Instagram (CPM)</t>
  </si>
  <si>
    <t xml:space="preserve"> https://www.cadcrowd.com/blog/how-much-does-product-design-cost-what-are-prices-for-freelance-design-firms/</t>
  </si>
  <si>
    <t>https://axonim.com/blog/electronics-development-cost-estimation.html</t>
  </si>
  <si>
    <t>https://www.integrasources.com/blog/guide-consumer-electronics-certification-us-eu-requirements-consider-mass-production/</t>
  </si>
  <si>
    <t>https://coolparcel.com/how-to-ship-something/electronics/</t>
  </si>
  <si>
    <t>Average Salary (Breakdown provided as follows)</t>
  </si>
  <si>
    <t>Software Developer</t>
  </si>
  <si>
    <t>Software Quality Engineer</t>
  </si>
  <si>
    <t>Hardware Engineer</t>
  </si>
  <si>
    <t>https://www.payscale.com/research/US/Job=Software_Engineer/Salary</t>
  </si>
  <si>
    <t>https://www.salary.com/research/salary/recruiting/software-qa-engineer-salary</t>
  </si>
  <si>
    <t>https://builtin.com/salaries/dev-engineer/hardware-engineer</t>
  </si>
  <si>
    <t>Firebase</t>
  </si>
  <si>
    <t xml:space="preserve">Our Financial Model centers around charging merchants a .75% fee for using one card. Initially, for our first year, we will not have any full-time employees and just contract the card and digital development out. Once we find a product-market fit we will hire our first employees. The biggest expenses we see initially are marketing and development of the card. After we start hiring employees that will be the majority of expenses. </t>
  </si>
  <si>
    <t>Why is the growth 1.25 times each year?</t>
  </si>
  <si>
    <t>Typical copmanies like venmo showed same revenue growth each year.</t>
  </si>
  <si>
    <t>https://www.businessofapps.com/data/venmo-statistics/</t>
  </si>
  <si>
    <t>https://buybitcoinworldwide.com/venmo-statistics/</t>
  </si>
  <si>
    <t>Why customer base rises 1.8 times each year?</t>
  </si>
  <si>
    <t>Compared to typical company's customer growth.</t>
  </si>
  <si>
    <t>We do not charge directly to the customers since this competitor space does not charge a fee to the customer.</t>
  </si>
  <si>
    <t>https://www.digitaljournal.com/business/report-finds-only-1-percent-reads-terms-conditions/article/566127</t>
  </si>
  <si>
    <t>Control of privacy</t>
  </si>
  <si>
    <t>We give an option of privacy control. Privacy is a growing concern. But also operate typically as other competitors in the space.</t>
  </si>
  <si>
    <t>Salries considered for various roles from sources provided in links.</t>
  </si>
  <si>
    <t>Software dev for features in perpetuity and bug fixes.</t>
  </si>
  <si>
    <t>QA for maintaining quality of the app and the website.</t>
  </si>
  <si>
    <t>Hardware engineer to design and test the physical card.</t>
  </si>
  <si>
    <t>Considered cost per thousand impressions. Typical expense taken from the template.</t>
  </si>
  <si>
    <t>Fees figure taken from the template.</t>
  </si>
  <si>
    <t>Card development would be outsourced or given a contract to.</t>
  </si>
  <si>
    <t>https://www.credit.com/blog/how-a-credit-card-is-made-74903/</t>
  </si>
  <si>
    <t>6000 is the units required. 1 account would take up 2 gb of space. 0.026 per 5gb storage.</t>
  </si>
  <si>
    <t>COGS</t>
  </si>
  <si>
    <t>Year 1</t>
  </si>
  <si>
    <t>Year 2</t>
  </si>
  <si>
    <t>Year 3</t>
  </si>
  <si>
    <t>Revenue and Expenses</t>
  </si>
  <si>
    <t>Not considering revenue of analytics due to privacy concerns.</t>
  </si>
  <si>
    <t>Alternative. We give an option of privacy control. Privacy is a growing concern. But also operate typically as other competitors in the space.</t>
  </si>
  <si>
    <t>Net</t>
  </si>
  <si>
    <r>
      <t>Revenue from Analytics (</t>
    </r>
    <r>
      <rPr>
        <b/>
        <sz val="14"/>
        <color rgb="FF000000"/>
        <rFont val="Calibri"/>
        <family val="2"/>
        <scheme val="minor"/>
      </rPr>
      <t>Alternative not considered</t>
    </r>
    <r>
      <rPr>
        <sz val="14"/>
        <color rgb="FF000000"/>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</si>
</sst>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
    <numFmt numFmtId="165" formatCode="&quot;$&quot;#,##0.00"/>
    <numFmt numFmtId="166" formatCode="_([$$-409]* #,##0.00_);_([$$-409]* \(#,##0.00\);_([$$-409]* &quot;-&quot;??_);_(@_)"/>
  </numFmts>
  <fonts count="38" x14ac:knownFonts="1">
    <font>
      <sz val="10"/>
      <color rgb="FF000000"/>
      <name val="Arial"/>
    </font>
    <font>
      <sz val="10"/>
      <name val="Arial"/>
      <family val="2"/>
    </font>
    <font>
      <sz val="10"/>
      <color rgb="FF000000"/>
      <name val="Arial"/>
      <family val="2"/>
    </font>
    <font>
      <b/>
      <sz val="16"/>
      <color rgb="FF000000"/>
      <name val="Calibri"/>
      <family val="2"/>
      <scheme val="minor"/>
    </font>
    <font>
      <sz val="18"/>
      <name val="Calibri"/>
      <family val="2"/>
      <scheme val="minor"/>
    </font>
    <font>
      <sz val="18"/>
      <color rgb="FF000000"/>
      <name val="Calibri"/>
      <family val="2"/>
      <scheme val="minor"/>
    </font>
    <font>
      <i/>
      <sz val="18"/>
      <color rgb="FFFFBF00"/>
      <name val="Calibri"/>
      <family val="2"/>
      <scheme val="minor"/>
    </font>
    <font>
      <b/>
      <sz val="18"/>
      <color rgb="FF434343"/>
      <name val="Calibri"/>
      <family val="2"/>
      <scheme val="minor"/>
    </font>
    <font>
      <sz val="18"/>
      <color rgb="FF434343"/>
      <name val="Calibri"/>
      <family val="2"/>
      <scheme val="minor"/>
    </font>
    <font>
      <b/>
      <sz val="18"/>
      <name val="Calibri"/>
      <family val="2"/>
      <scheme val="minor"/>
    </font>
    <font>
      <i/>
      <sz val="18"/>
      <color rgb="FF434343"/>
      <name val="Calibri"/>
      <family val="2"/>
      <scheme val="minor"/>
    </font>
    <font>
      <b/>
      <sz val="18"/>
      <color rgb="FFFFCE00"/>
      <name val="Calibri"/>
      <family val="2"/>
      <scheme val="minor"/>
    </font>
    <font>
      <b/>
      <i/>
      <sz val="18"/>
      <color rgb="FFFFCE00"/>
      <name val="Calibri"/>
      <family val="2"/>
      <scheme val="minor"/>
    </font>
    <font>
      <b/>
      <i/>
      <sz val="18"/>
      <color rgb="FF000000"/>
      <name val="Calibri"/>
      <family val="2"/>
      <scheme val="minor"/>
    </font>
    <font>
      <i/>
      <sz val="18"/>
      <color rgb="FF666666"/>
      <name val="Calibri"/>
      <family val="2"/>
      <scheme val="minor"/>
    </font>
    <font>
      <b/>
      <sz val="18"/>
      <color rgb="FF000000"/>
      <name val="Calibri"/>
      <family val="2"/>
      <scheme val="minor"/>
    </font>
    <font>
      <sz val="18"/>
      <color rgb="FFBF9000"/>
      <name val="Calibri"/>
      <family val="2"/>
      <scheme val="minor"/>
    </font>
    <font>
      <b/>
      <sz val="18"/>
      <color rgb="FFBF9000"/>
      <name val="Calibri"/>
      <family val="2"/>
      <scheme val="minor"/>
    </font>
    <font>
      <b/>
      <sz val="18"/>
      <color rgb="FF666666"/>
      <name val="Calibri"/>
      <family val="2"/>
      <scheme val="minor"/>
    </font>
    <font>
      <i/>
      <u/>
      <sz val="18"/>
      <color rgb="FF1155CC"/>
      <name val="Calibri"/>
      <family val="2"/>
      <scheme val="minor"/>
    </font>
    <font>
      <b/>
      <sz val="18"/>
      <color rgb="FFFFFFFF"/>
      <name val="Calibri"/>
      <family val="2"/>
      <scheme val="minor"/>
    </font>
    <font>
      <sz val="18"/>
      <color rgb="FFFFFFFF"/>
      <name val="Calibri"/>
      <family val="2"/>
      <scheme val="minor"/>
    </font>
    <font>
      <b/>
      <i/>
      <sz val="18"/>
      <color rgb="FF434343"/>
      <name val="Calibri"/>
      <family val="2"/>
      <scheme val="minor"/>
    </font>
    <font>
      <i/>
      <sz val="18"/>
      <color rgb="FF76A5AF"/>
      <name val="Calibri"/>
      <family val="2"/>
      <scheme val="minor"/>
    </font>
    <font>
      <sz val="18"/>
      <color rgb="FF666666"/>
      <name val="Calibri"/>
      <family val="2"/>
      <scheme val="minor"/>
    </font>
    <font>
      <sz val="18"/>
      <color rgb="FFB7B7B7"/>
      <name val="Calibri"/>
      <family val="2"/>
      <scheme val="minor"/>
    </font>
    <font>
      <sz val="18"/>
      <color rgb="FFFFBF00"/>
      <name val="Calibri"/>
      <family val="2"/>
      <scheme val="minor"/>
    </font>
    <font>
      <b/>
      <sz val="18"/>
      <color rgb="FFFFBF00"/>
      <name val="Calibri"/>
      <family val="2"/>
      <scheme val="minor"/>
    </font>
    <font>
      <sz val="18"/>
      <color rgb="FF777777"/>
      <name val="Calibri"/>
      <family val="2"/>
      <scheme val="minor"/>
    </font>
    <font>
      <i/>
      <sz val="18"/>
      <color rgb="FFFFFFFF"/>
      <name val="Calibri"/>
      <family val="2"/>
      <scheme val="minor"/>
    </font>
    <font>
      <i/>
      <sz val="18"/>
      <color rgb="FF777777"/>
      <name val="Calibri"/>
      <family val="2"/>
      <scheme val="minor"/>
    </font>
    <font>
      <sz val="18"/>
      <color rgb="FFFFCE00"/>
      <name val="Calibri"/>
      <family val="2"/>
      <scheme val="minor"/>
    </font>
    <font>
      <sz val="18"/>
      <color rgb="FF999999"/>
      <name val="Calibri"/>
      <family val="2"/>
      <scheme val="minor"/>
    </font>
    <font>
      <sz val="26"/>
      <name val="Calibri"/>
      <family val="2"/>
      <scheme val="minor"/>
    </font>
    <font>
      <sz val="14"/>
      <color rgb="FF000000"/>
      <name val="Calibri"/>
      <family val="2"/>
      <scheme val="minor"/>
    </font>
    <font>
      <b/>
      <sz val="14"/>
      <color rgb="FF000000"/>
      <name val="Calibri"/>
      <family val="2"/>
      <scheme val="minor"/>
    </font>
    <font>
      <u/>
      <sz val="10"/>
      <color theme="10"/>
      <name val="Arial"/>
      <family val="2"/>
    </font>
    <font>
      <u/>
      <sz val="14"/>
      <color theme="10"/>
      <name val="Calibri"/>
      <family val="2"/>
      <scheme val="minor"/>
    </font>
  </fonts>
  <fills count="17">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FFCE00"/>
        <bgColor rgb="FFFFCE00"/>
      </patternFill>
    </fill>
    <fill>
      <patternFill patternType="solid">
        <fgColor rgb="FFFFBF00"/>
        <bgColor rgb="FFFFBF00"/>
      </patternFill>
    </fill>
    <fill>
      <patternFill patternType="solid">
        <fgColor rgb="FF434343"/>
        <bgColor rgb="FF434343"/>
      </patternFill>
    </fill>
    <fill>
      <patternFill patternType="solid">
        <fgColor rgb="FFFFF2CC"/>
        <bgColor rgb="FFFFF2CC"/>
      </patternFill>
    </fill>
    <fill>
      <patternFill patternType="solid">
        <fgColor rgb="FFFFD966"/>
        <bgColor rgb="FFFFD966"/>
      </patternFill>
    </fill>
    <fill>
      <patternFill patternType="solid">
        <fgColor rgb="FFD8D8D8"/>
        <bgColor rgb="FFD8D8D8"/>
      </patternFill>
    </fill>
    <fill>
      <patternFill patternType="solid">
        <fgColor rgb="FFDEEAF6"/>
        <bgColor rgb="FFDEEAF6"/>
      </patternFill>
    </fill>
    <fill>
      <patternFill patternType="solid">
        <fgColor theme="5"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indexed="64"/>
      </patternFill>
    </fill>
  </fills>
  <borders count="42">
    <border>
      <left/>
      <right/>
      <top/>
      <bottom/>
      <diagonal/>
    </border>
    <border>
      <left style="medium">
        <color rgb="FF434343"/>
      </left>
      <right/>
      <top style="medium">
        <color rgb="FF434343"/>
      </top>
      <bottom/>
      <diagonal/>
    </border>
    <border>
      <left/>
      <right/>
      <top style="medium">
        <color rgb="FF434343"/>
      </top>
      <bottom/>
      <diagonal/>
    </border>
    <border>
      <left/>
      <right style="medium">
        <color rgb="FF434343"/>
      </right>
      <top style="medium">
        <color rgb="FF434343"/>
      </top>
      <bottom/>
      <diagonal/>
    </border>
    <border>
      <left style="medium">
        <color rgb="FF434343"/>
      </left>
      <right/>
      <top/>
      <bottom/>
      <diagonal/>
    </border>
    <border>
      <left/>
      <right style="medium">
        <color rgb="FF434343"/>
      </right>
      <top/>
      <bottom/>
      <diagonal/>
    </border>
    <border>
      <left style="thick">
        <color rgb="FFFFCE00"/>
      </left>
      <right/>
      <top style="thick">
        <color rgb="FFFFCE00"/>
      </top>
      <bottom/>
      <diagonal/>
    </border>
    <border>
      <left/>
      <right/>
      <top style="thick">
        <color rgb="FFFFCE00"/>
      </top>
      <bottom/>
      <diagonal/>
    </border>
    <border>
      <left/>
      <right style="thick">
        <color rgb="FFFFCE00"/>
      </right>
      <top style="thick">
        <color rgb="FFFFCE00"/>
      </top>
      <bottom/>
      <diagonal/>
    </border>
    <border>
      <left style="thick">
        <color rgb="FFFFCE00"/>
      </left>
      <right/>
      <top/>
      <bottom/>
      <diagonal/>
    </border>
    <border>
      <left/>
      <right style="thick">
        <color rgb="FFFFCE00"/>
      </right>
      <top/>
      <bottom/>
      <diagonal/>
    </border>
    <border>
      <left style="thick">
        <color rgb="FFFFCE00"/>
      </left>
      <right/>
      <top/>
      <bottom style="thick">
        <color rgb="FFFFCE00"/>
      </bottom>
      <diagonal/>
    </border>
    <border>
      <left/>
      <right/>
      <top/>
      <bottom style="thick">
        <color rgb="FFFFCE00"/>
      </bottom>
      <diagonal/>
    </border>
    <border>
      <left style="thick">
        <color rgb="FFFFCE00"/>
      </left>
      <right style="thick">
        <color rgb="FFFFCE00"/>
      </right>
      <top style="thick">
        <color rgb="FFFFCE00"/>
      </top>
      <bottom style="thick">
        <color rgb="FFFFCE00"/>
      </bottom>
      <diagonal/>
    </border>
    <border>
      <left/>
      <right style="thick">
        <color rgb="FFFFCE00"/>
      </right>
      <top/>
      <bottom style="thick">
        <color rgb="FFFFCE00"/>
      </bottom>
      <diagonal/>
    </border>
    <border>
      <left style="medium">
        <color rgb="FF434343"/>
      </left>
      <right/>
      <top/>
      <bottom style="medium">
        <color rgb="FF434343"/>
      </bottom>
      <diagonal/>
    </border>
    <border>
      <left/>
      <right/>
      <top/>
      <bottom style="medium">
        <color rgb="FF434343"/>
      </bottom>
      <diagonal/>
    </border>
    <border>
      <left/>
      <right style="medium">
        <color rgb="FF434343"/>
      </right>
      <top/>
      <bottom style="medium">
        <color rgb="FF434343"/>
      </bottom>
      <diagonal/>
    </border>
    <border>
      <left style="thick">
        <color rgb="FFFFCE00"/>
      </left>
      <right style="thin">
        <color rgb="FFFFCE00"/>
      </right>
      <top style="thick">
        <color rgb="FFFFCE00"/>
      </top>
      <bottom style="thick">
        <color rgb="FFFFCE00"/>
      </bottom>
      <diagonal/>
    </border>
    <border>
      <left style="thin">
        <color rgb="FFFFCE00"/>
      </left>
      <right style="thick">
        <color rgb="FFFFCE00"/>
      </right>
      <top style="thick">
        <color rgb="FFFFCE00"/>
      </top>
      <bottom style="thick">
        <color rgb="FFFFCE00"/>
      </bottom>
      <diagonal/>
    </border>
    <border>
      <left style="thick">
        <color rgb="FFFFCE00"/>
      </left>
      <right style="thin">
        <color rgb="FFFFCE00"/>
      </right>
      <top/>
      <bottom style="thin">
        <color rgb="FFFFCE00"/>
      </bottom>
      <diagonal/>
    </border>
    <border>
      <left style="thin">
        <color rgb="FFFFCE00"/>
      </left>
      <right style="thin">
        <color rgb="FFFFCE00"/>
      </right>
      <top/>
      <bottom style="thin">
        <color rgb="FFFFCE00"/>
      </bottom>
      <diagonal/>
    </border>
    <border>
      <left style="thin">
        <color rgb="FFFFCE00"/>
      </left>
      <right style="thick">
        <color rgb="FFFFCE00"/>
      </right>
      <top/>
      <bottom style="thin">
        <color rgb="FFD9D9D9"/>
      </bottom>
      <diagonal/>
    </border>
    <border>
      <left/>
      <right style="thick">
        <color rgb="FFFFCE00"/>
      </right>
      <top/>
      <bottom style="thin">
        <color rgb="FFCCCCCC"/>
      </bottom>
      <diagonal/>
    </border>
    <border>
      <left style="thick">
        <color rgb="FFFFCE00"/>
      </left>
      <right style="thin">
        <color rgb="FFFFCE00"/>
      </right>
      <top style="thin">
        <color rgb="FFFFCE00"/>
      </top>
      <bottom style="thin">
        <color rgb="FFFFCE00"/>
      </bottom>
      <diagonal/>
    </border>
    <border>
      <left style="thin">
        <color rgb="FFFFCE00"/>
      </left>
      <right style="thin">
        <color rgb="FFFFCE00"/>
      </right>
      <top style="thin">
        <color rgb="FFFFCE00"/>
      </top>
      <bottom style="thin">
        <color rgb="FFFFCE00"/>
      </bottom>
      <diagonal/>
    </border>
    <border>
      <left style="thick">
        <color rgb="FFFFCE00"/>
      </left>
      <right style="thin">
        <color rgb="FFFFCE00"/>
      </right>
      <top style="thin">
        <color rgb="FFFFCE00"/>
      </top>
      <bottom style="thick">
        <color rgb="FFFFCE00"/>
      </bottom>
      <diagonal/>
    </border>
    <border>
      <left style="thin">
        <color rgb="FFFFCE00"/>
      </left>
      <right style="thin">
        <color rgb="FFFFCE00"/>
      </right>
      <top style="thin">
        <color rgb="FFFFCE00"/>
      </top>
      <bottom style="thick">
        <color rgb="FFFFCE00"/>
      </bottom>
      <diagonal/>
    </border>
    <border>
      <left/>
      <right style="thick">
        <color rgb="FFFFBF00"/>
      </right>
      <top/>
      <bottom style="thick">
        <color rgb="FFFFCE00"/>
      </bottom>
      <diagonal/>
    </border>
    <border>
      <left style="medium">
        <color rgb="FFFFCE00"/>
      </left>
      <right style="thin">
        <color rgb="FF666666"/>
      </right>
      <top style="medium">
        <color rgb="FFFFCE00"/>
      </top>
      <bottom style="thick">
        <color rgb="FFFFCE00"/>
      </bottom>
      <diagonal/>
    </border>
    <border>
      <left style="thin">
        <color rgb="FF666666"/>
      </left>
      <right/>
      <top style="medium">
        <color rgb="FFFFCE00"/>
      </top>
      <bottom style="thick">
        <color rgb="FFFFCE00"/>
      </bottom>
      <diagonal/>
    </border>
    <border>
      <left/>
      <right style="thin">
        <color rgb="FF666666"/>
      </right>
      <top style="medium">
        <color rgb="FFFFCE00"/>
      </top>
      <bottom style="thick">
        <color rgb="FFFFCE00"/>
      </bottom>
      <diagonal/>
    </border>
    <border>
      <left style="thin">
        <color rgb="FF666666"/>
      </left>
      <right style="medium">
        <color rgb="FFFFCE00"/>
      </right>
      <top style="medium">
        <color rgb="FFFFCE00"/>
      </top>
      <bottom style="thick">
        <color rgb="FFFFCE00"/>
      </bottom>
      <diagonal/>
    </border>
    <border>
      <left style="medium">
        <color rgb="FFFFCE00"/>
      </left>
      <right/>
      <top style="thick">
        <color rgb="FFFFCE00"/>
      </top>
      <bottom style="medium">
        <color rgb="FFFFCE00"/>
      </bottom>
      <diagonal/>
    </border>
    <border>
      <left style="thin">
        <color rgb="FF434343"/>
      </left>
      <right/>
      <top style="thick">
        <color rgb="FFFFCE00"/>
      </top>
      <bottom style="medium">
        <color rgb="FFFFCE00"/>
      </bottom>
      <diagonal/>
    </border>
    <border>
      <left/>
      <right style="thin">
        <color rgb="FF434343"/>
      </right>
      <top style="thick">
        <color rgb="FFFFCE00"/>
      </top>
      <bottom style="medium">
        <color rgb="FFFFCE00"/>
      </bottom>
      <diagonal/>
    </border>
    <border>
      <left style="thin">
        <color rgb="FF434343"/>
      </left>
      <right style="medium">
        <color rgb="FFFFCE00"/>
      </right>
      <top style="thick">
        <color rgb="FFFFCE00"/>
      </top>
      <bottom style="medium">
        <color rgb="FFFFCE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36" fillId="0" borderId="0" applyNumberFormat="0" applyFill="0" applyBorder="0" applyAlignment="0" applyProtection="0"/>
  </cellStyleXfs>
  <cellXfs count="205">
    <xf numFmtId="0" fontId="0" fillId="0" borderId="0" xfId="0"/>
    <xf numFmtId="0" fontId="1" fillId="0" borderId="0" xfId="0" applyFont="1"/>
    <xf numFmtId="164" fontId="1" fillId="0" borderId="0" xfId="0" applyNumberFormat="1" applyFont="1"/>
    <xf numFmtId="0" fontId="4" fillId="2" borderId="0" xfId="0" applyFont="1" applyFill="1"/>
    <xf numFmtId="0" fontId="5" fillId="0" borderId="0" xfId="0" applyFont="1"/>
    <xf numFmtId="0" fontId="5" fillId="2" borderId="0" xfId="0" applyFont="1" applyFill="1"/>
    <xf numFmtId="0" fontId="4" fillId="3" borderId="0" xfId="0" applyFont="1" applyFill="1"/>
    <xf numFmtId="0" fontId="5" fillId="0" borderId="0" xfId="0" applyFont="1" applyAlignment="1">
      <alignment horizontal="left"/>
    </xf>
    <xf numFmtId="0" fontId="6" fillId="0" borderId="0" xfId="0" applyFont="1" applyAlignment="1">
      <alignment horizontal="left" vertical="top"/>
    </xf>
    <xf numFmtId="0" fontId="6" fillId="0" borderId="0" xfId="0" applyFont="1" applyAlignment="1">
      <alignment horizontal="right" vertical="top"/>
    </xf>
    <xf numFmtId="0" fontId="4" fillId="2" borderId="0" xfId="0" applyFont="1" applyFill="1" applyAlignment="1">
      <alignment vertical="center" wrapText="1"/>
    </xf>
    <xf numFmtId="0" fontId="4" fillId="4" borderId="0" xfId="0" applyFont="1" applyFill="1" applyAlignment="1">
      <alignment vertical="center" wrapText="1"/>
    </xf>
    <xf numFmtId="0" fontId="4" fillId="4" borderId="0" xfId="0" applyFont="1" applyFill="1"/>
    <xf numFmtId="0" fontId="4" fillId="2" borderId="1" xfId="0" applyFont="1" applyFill="1" applyBorder="1"/>
    <xf numFmtId="0" fontId="4" fillId="2" borderId="2" xfId="0" applyFont="1" applyFill="1" applyBorder="1"/>
    <xf numFmtId="0" fontId="4" fillId="2" borderId="3" xfId="0" applyFont="1" applyFill="1" applyBorder="1"/>
    <xf numFmtId="0" fontId="4" fillId="2" borderId="0" xfId="0" applyFont="1" applyFill="1" applyAlignment="1">
      <alignment vertical="center"/>
    </xf>
    <xf numFmtId="0" fontId="4" fillId="2" borderId="4" xfId="0" applyFont="1" applyFill="1" applyBorder="1" applyAlignment="1">
      <alignment vertical="center"/>
    </xf>
    <xf numFmtId="0" fontId="4" fillId="2" borderId="5" xfId="0" applyFont="1" applyFill="1" applyBorder="1" applyAlignment="1">
      <alignment vertical="center"/>
    </xf>
    <xf numFmtId="0" fontId="5" fillId="2" borderId="0" xfId="0" applyFont="1" applyFill="1" applyAlignment="1">
      <alignment vertical="center"/>
    </xf>
    <xf numFmtId="0" fontId="4" fillId="2" borderId="4" xfId="0" applyFont="1" applyFill="1" applyBorder="1"/>
    <xf numFmtId="0" fontId="4" fillId="2" borderId="5" xfId="0" applyFont="1" applyFill="1" applyBorder="1"/>
    <xf numFmtId="0" fontId="9" fillId="2" borderId="0" xfId="0" applyFont="1" applyFill="1" applyAlignment="1">
      <alignment vertical="center"/>
    </xf>
    <xf numFmtId="0" fontId="9" fillId="2" borderId="4" xfId="0" applyFont="1" applyFill="1" applyBorder="1" applyAlignment="1">
      <alignment vertical="center"/>
    </xf>
    <xf numFmtId="0" fontId="9" fillId="2" borderId="5" xfId="0" applyFont="1" applyFill="1" applyBorder="1"/>
    <xf numFmtId="0" fontId="10" fillId="2" borderId="0" xfId="0" applyFont="1" applyFill="1" applyAlignment="1">
      <alignment vertical="center" wrapText="1"/>
    </xf>
    <xf numFmtId="0" fontId="10" fillId="2" borderId="4" xfId="0" applyFont="1" applyFill="1" applyBorder="1" applyAlignment="1">
      <alignment vertical="center" wrapText="1"/>
    </xf>
    <xf numFmtId="0" fontId="11" fillId="2" borderId="0" xfId="0" applyFont="1" applyFill="1" applyAlignment="1">
      <alignment vertical="center" wrapText="1"/>
    </xf>
    <xf numFmtId="0" fontId="11" fillId="2" borderId="4" xfId="0" applyFont="1" applyFill="1" applyBorder="1" applyAlignment="1">
      <alignment vertical="center" wrapText="1"/>
    </xf>
    <xf numFmtId="164" fontId="12" fillId="7" borderId="10" xfId="0" applyNumberFormat="1" applyFont="1" applyFill="1" applyBorder="1" applyAlignment="1">
      <alignment horizontal="center" vertical="center" wrapText="1"/>
    </xf>
    <xf numFmtId="0" fontId="12" fillId="2" borderId="5" xfId="0" applyFont="1" applyFill="1" applyBorder="1" applyAlignment="1">
      <alignment horizontal="center" vertical="center" wrapText="1"/>
    </xf>
    <xf numFmtId="0" fontId="13" fillId="2" borderId="0" xfId="0" applyFont="1" applyFill="1" applyAlignment="1">
      <alignment horizontal="center" vertical="center" wrapText="1"/>
    </xf>
    <xf numFmtId="0" fontId="14" fillId="2" borderId="0" xfId="0" applyFont="1" applyFill="1" applyAlignment="1">
      <alignment vertical="center" wrapText="1"/>
    </xf>
    <xf numFmtId="0" fontId="14" fillId="2" borderId="4" xfId="0" applyFont="1" applyFill="1" applyBorder="1" applyAlignment="1">
      <alignment vertical="center" wrapText="1"/>
    </xf>
    <xf numFmtId="3" fontId="4" fillId="2" borderId="13" xfId="0" applyNumberFormat="1" applyFont="1" applyFill="1" applyBorder="1" applyAlignment="1">
      <alignment horizontal="center" vertical="center"/>
    </xf>
    <xf numFmtId="0" fontId="15" fillId="2" borderId="0" xfId="0" applyFont="1" applyFill="1"/>
    <xf numFmtId="0" fontId="9" fillId="2" borderId="0" xfId="0" applyFont="1" applyFill="1" applyAlignment="1">
      <alignment vertical="center" wrapText="1"/>
    </xf>
    <xf numFmtId="0" fontId="9" fillId="2" borderId="4" xfId="0" applyFont="1" applyFill="1" applyBorder="1" applyAlignment="1">
      <alignment vertical="center" wrapText="1"/>
    </xf>
    <xf numFmtId="164" fontId="9" fillId="5" borderId="14" xfId="0" applyNumberFormat="1" applyFont="1" applyFill="1" applyBorder="1" applyAlignment="1">
      <alignment horizontal="center"/>
    </xf>
    <xf numFmtId="0" fontId="4" fillId="2" borderId="15" xfId="0" applyFont="1" applyFill="1" applyBorder="1"/>
    <xf numFmtId="0" fontId="4" fillId="2" borderId="16" xfId="0" applyFont="1" applyFill="1" applyBorder="1"/>
    <xf numFmtId="0" fontId="4" fillId="2" borderId="17" xfId="0" applyFont="1" applyFill="1" applyBorder="1"/>
    <xf numFmtId="164" fontId="12" fillId="7" borderId="0" xfId="0" applyNumberFormat="1" applyFont="1" applyFill="1" applyAlignment="1">
      <alignment horizontal="center" vertical="center" wrapText="1"/>
    </xf>
    <xf numFmtId="164" fontId="4" fillId="2" borderId="18" xfId="0" applyNumberFormat="1" applyFont="1" applyFill="1" applyBorder="1" applyAlignment="1">
      <alignment horizontal="center" vertical="center"/>
    </xf>
    <xf numFmtId="3" fontId="4" fillId="2" borderId="19" xfId="0" applyNumberFormat="1" applyFont="1" applyFill="1" applyBorder="1" applyAlignment="1">
      <alignment horizontal="center" vertical="center"/>
    </xf>
    <xf numFmtId="0" fontId="16" fillId="2" borderId="0" xfId="0" applyFont="1" applyFill="1" applyAlignment="1">
      <alignment vertical="center" wrapText="1"/>
    </xf>
    <xf numFmtId="0" fontId="16" fillId="2" borderId="4" xfId="0" applyFont="1" applyFill="1" applyBorder="1" applyAlignment="1">
      <alignment vertical="center" wrapText="1"/>
    </xf>
    <xf numFmtId="10" fontId="4" fillId="2" borderId="13" xfId="0" applyNumberFormat="1" applyFont="1" applyFill="1" applyBorder="1" applyAlignment="1">
      <alignment horizontal="center" vertical="center"/>
    </xf>
    <xf numFmtId="0" fontId="4" fillId="7" borderId="0" xfId="0" applyFont="1" applyFill="1"/>
    <xf numFmtId="164" fontId="4" fillId="2" borderId="13" xfId="0" applyNumberFormat="1" applyFont="1" applyFill="1" applyBorder="1" applyAlignment="1">
      <alignment horizontal="center" vertical="center"/>
    </xf>
    <xf numFmtId="0" fontId="22" fillId="2" borderId="0" xfId="0" applyFont="1" applyFill="1" applyAlignment="1">
      <alignment vertical="center" wrapText="1"/>
    </xf>
    <xf numFmtId="0" fontId="22" fillId="2" borderId="4" xfId="0" applyFont="1" applyFill="1" applyBorder="1" applyAlignment="1">
      <alignment vertical="center" wrapText="1"/>
    </xf>
    <xf numFmtId="0" fontId="12" fillId="7" borderId="9" xfId="0" applyFont="1" applyFill="1" applyBorder="1" applyAlignment="1">
      <alignment vertical="center" wrapText="1"/>
    </xf>
    <xf numFmtId="0" fontId="8" fillId="2" borderId="20" xfId="0" applyFont="1" applyFill="1" applyBorder="1" applyAlignment="1">
      <alignment vertical="center" wrapText="1"/>
    </xf>
    <xf numFmtId="165" fontId="4" fillId="2" borderId="21" xfId="0" applyNumberFormat="1" applyFont="1" applyFill="1" applyBorder="1" applyAlignment="1">
      <alignment horizontal="center" vertical="center"/>
    </xf>
    <xf numFmtId="3" fontId="4" fillId="2" borderId="21" xfId="0" applyNumberFormat="1" applyFont="1" applyFill="1" applyBorder="1" applyAlignment="1">
      <alignment horizontal="center" vertical="center"/>
    </xf>
    <xf numFmtId="164" fontId="25" fillId="4" borderId="22" xfId="0" applyNumberFormat="1" applyFont="1" applyFill="1" applyBorder="1" applyAlignment="1">
      <alignment horizontal="center" vertical="center" wrapText="1"/>
    </xf>
    <xf numFmtId="164" fontId="25" fillId="4" borderId="23" xfId="0" applyNumberFormat="1" applyFont="1" applyFill="1" applyBorder="1" applyAlignment="1">
      <alignment horizontal="center" vertical="center" wrapText="1"/>
    </xf>
    <xf numFmtId="0" fontId="8" fillId="2" borderId="24" xfId="0" applyFont="1" applyFill="1" applyBorder="1" applyAlignment="1">
      <alignment vertical="center" wrapText="1"/>
    </xf>
    <xf numFmtId="165" fontId="4" fillId="2" borderId="25" xfId="0" applyNumberFormat="1" applyFont="1" applyFill="1" applyBorder="1" applyAlignment="1">
      <alignment horizontal="center" vertical="center"/>
    </xf>
    <xf numFmtId="3" fontId="4" fillId="2" borderId="25" xfId="0" applyNumberFormat="1" applyFont="1" applyFill="1" applyBorder="1" applyAlignment="1">
      <alignment horizontal="center" vertical="center"/>
    </xf>
    <xf numFmtId="0" fontId="8" fillId="2" borderId="26" xfId="0" applyFont="1" applyFill="1" applyBorder="1" applyAlignment="1">
      <alignment vertical="center" wrapText="1"/>
    </xf>
    <xf numFmtId="165" fontId="4" fillId="2" borderId="27" xfId="0" applyNumberFormat="1" applyFont="1" applyFill="1" applyBorder="1" applyAlignment="1">
      <alignment horizontal="center" vertical="center"/>
    </xf>
    <xf numFmtId="3" fontId="4" fillId="2" borderId="27" xfId="0" applyNumberFormat="1" applyFont="1" applyFill="1" applyBorder="1" applyAlignment="1">
      <alignment horizontal="center" vertical="center"/>
    </xf>
    <xf numFmtId="164" fontId="25" fillId="4" borderId="14" xfId="0" applyNumberFormat="1" applyFont="1" applyFill="1" applyBorder="1" applyAlignment="1">
      <alignment horizontal="center" vertical="center" wrapText="1"/>
    </xf>
    <xf numFmtId="3" fontId="17" fillId="9" borderId="12" xfId="0" applyNumberFormat="1" applyFont="1" applyFill="1" applyBorder="1" applyAlignment="1">
      <alignment horizontal="center" vertical="center"/>
    </xf>
    <xf numFmtId="164" fontId="17" fillId="9" borderId="28" xfId="0" applyNumberFormat="1" applyFont="1" applyFill="1" applyBorder="1" applyAlignment="1">
      <alignment horizontal="center" vertical="center"/>
    </xf>
    <xf numFmtId="164" fontId="27" fillId="7" borderId="14" xfId="0" applyNumberFormat="1" applyFont="1" applyFill="1" applyBorder="1" applyAlignment="1">
      <alignment horizontal="center" vertical="center"/>
    </xf>
    <xf numFmtId="0" fontId="31" fillId="7" borderId="29" xfId="0" applyFont="1" applyFill="1" applyBorder="1" applyAlignment="1">
      <alignment horizontal="center" vertical="center"/>
    </xf>
    <xf numFmtId="164" fontId="31" fillId="7" borderId="32" xfId="0" applyNumberFormat="1" applyFont="1" applyFill="1" applyBorder="1" applyAlignment="1">
      <alignment horizontal="center" vertical="center"/>
    </xf>
    <xf numFmtId="3" fontId="8" fillId="5" borderId="33" xfId="0" applyNumberFormat="1" applyFont="1" applyFill="1" applyBorder="1" applyAlignment="1">
      <alignment horizontal="center" vertical="center"/>
    </xf>
    <xf numFmtId="3" fontId="8" fillId="5" borderId="36" xfId="0" applyNumberFormat="1" applyFont="1" applyFill="1" applyBorder="1" applyAlignment="1">
      <alignment horizontal="center" vertical="center"/>
    </xf>
    <xf numFmtId="10" fontId="4" fillId="2" borderId="10" xfId="0" applyNumberFormat="1" applyFont="1" applyFill="1" applyBorder="1" applyAlignment="1">
      <alignment horizontal="center" vertical="center"/>
    </xf>
    <xf numFmtId="0" fontId="34" fillId="0" borderId="0" xfId="0" applyFont="1"/>
    <xf numFmtId="0" fontId="34" fillId="0" borderId="37" xfId="0" applyFont="1" applyBorder="1"/>
    <xf numFmtId="0" fontId="0" fillId="0" borderId="37" xfId="0" applyBorder="1"/>
    <xf numFmtId="0" fontId="3" fillId="0" borderId="37" xfId="0" applyFont="1" applyBorder="1"/>
    <xf numFmtId="0" fontId="3" fillId="0" borderId="37" xfId="0" applyFont="1" applyFill="1" applyBorder="1"/>
    <xf numFmtId="0" fontId="34" fillId="12" borderId="37" xfId="0" applyFont="1" applyFill="1" applyBorder="1"/>
    <xf numFmtId="9" fontId="34" fillId="12" borderId="37" xfId="2" applyFont="1" applyFill="1" applyBorder="1"/>
    <xf numFmtId="166" fontId="34" fillId="12" borderId="37" xfId="0" applyNumberFormat="1" applyFont="1" applyFill="1" applyBorder="1"/>
    <xf numFmtId="0" fontId="35" fillId="13" borderId="38" xfId="0" applyFont="1" applyFill="1" applyBorder="1" applyAlignment="1">
      <alignment horizontal="left"/>
    </xf>
    <xf numFmtId="0" fontId="35" fillId="13" borderId="39" xfId="0" applyFont="1" applyFill="1" applyBorder="1" applyAlignment="1">
      <alignment horizontal="left"/>
    </xf>
    <xf numFmtId="0" fontId="35" fillId="13" borderId="40" xfId="0" applyFont="1" applyFill="1" applyBorder="1" applyAlignment="1">
      <alignment horizontal="left"/>
    </xf>
    <xf numFmtId="0" fontId="34" fillId="13" borderId="37" xfId="0" applyFont="1" applyFill="1" applyBorder="1"/>
    <xf numFmtId="9" fontId="34" fillId="13" borderId="37" xfId="2" applyFont="1" applyFill="1" applyBorder="1"/>
    <xf numFmtId="166" fontId="34" fillId="13" borderId="37" xfId="0" applyNumberFormat="1" applyFont="1" applyFill="1" applyBorder="1"/>
    <xf numFmtId="166" fontId="34" fillId="13" borderId="37" xfId="2" applyNumberFormat="1" applyFont="1" applyFill="1" applyBorder="1"/>
    <xf numFmtId="2" fontId="34" fillId="13" borderId="37" xfId="0" applyNumberFormat="1" applyFont="1" applyFill="1" applyBorder="1"/>
    <xf numFmtId="166" fontId="35" fillId="13" borderId="37" xfId="0" applyNumberFormat="1" applyFont="1" applyFill="1" applyBorder="1"/>
    <xf numFmtId="0" fontId="34" fillId="14" borderId="37" xfId="0" applyFont="1" applyFill="1" applyBorder="1" applyAlignment="1">
      <alignment horizontal="left"/>
    </xf>
    <xf numFmtId="10" fontId="34" fillId="14" borderId="37" xfId="0" applyNumberFormat="1" applyFont="1" applyFill="1" applyBorder="1" applyAlignment="1">
      <alignment horizontal="center"/>
    </xf>
    <xf numFmtId="166" fontId="34" fillId="14" borderId="37" xfId="0" applyNumberFormat="1" applyFont="1" applyFill="1" applyBorder="1" applyAlignment="1">
      <alignment horizontal="center"/>
    </xf>
    <xf numFmtId="3" fontId="34" fillId="14" borderId="37" xfId="0" applyNumberFormat="1" applyFont="1" applyFill="1" applyBorder="1" applyAlignment="1">
      <alignment horizontal="center"/>
    </xf>
    <xf numFmtId="166" fontId="34" fillId="14" borderId="37" xfId="1" applyNumberFormat="1" applyFont="1" applyFill="1" applyBorder="1" applyAlignment="1">
      <alignment horizontal="center"/>
    </xf>
    <xf numFmtId="0" fontId="34" fillId="14" borderId="37" xfId="0" applyFont="1" applyFill="1" applyBorder="1" applyAlignment="1">
      <alignment horizontal="center"/>
    </xf>
    <xf numFmtId="0" fontId="35" fillId="14" borderId="37" xfId="0" applyFont="1" applyFill="1" applyBorder="1"/>
    <xf numFmtId="0" fontId="34" fillId="12" borderId="37" xfId="0" applyFont="1" applyFill="1" applyBorder="1" applyAlignment="1">
      <alignment horizontal="left"/>
    </xf>
    <xf numFmtId="9" fontId="34" fillId="12" borderId="37" xfId="2" applyFont="1" applyFill="1" applyBorder="1" applyAlignment="1">
      <alignment horizontal="center"/>
    </xf>
    <xf numFmtId="3" fontId="34" fillId="12" borderId="37" xfId="0" applyNumberFormat="1" applyFont="1" applyFill="1" applyBorder="1" applyAlignment="1">
      <alignment horizontal="center"/>
    </xf>
    <xf numFmtId="0" fontId="34" fillId="12" borderId="37" xfId="0" applyFont="1" applyFill="1" applyBorder="1" applyAlignment="1">
      <alignment horizontal="center"/>
    </xf>
    <xf numFmtId="166" fontId="34" fillId="12" borderId="37" xfId="0" applyNumberFormat="1" applyFont="1" applyFill="1" applyBorder="1" applyAlignment="1">
      <alignment horizontal="center"/>
    </xf>
    <xf numFmtId="0" fontId="35" fillId="12" borderId="37" xfId="0" applyFont="1" applyFill="1" applyBorder="1" applyAlignment="1">
      <alignment horizontal="center"/>
    </xf>
    <xf numFmtId="166" fontId="35" fillId="12" borderId="37" xfId="0" applyNumberFormat="1" applyFont="1" applyFill="1" applyBorder="1" applyAlignment="1">
      <alignment horizontal="center"/>
    </xf>
    <xf numFmtId="3" fontId="34" fillId="12" borderId="37" xfId="0" applyNumberFormat="1" applyFont="1" applyFill="1" applyBorder="1"/>
    <xf numFmtId="166" fontId="35" fillId="15" borderId="37" xfId="1" applyNumberFormat="1" applyFont="1" applyFill="1" applyBorder="1" applyAlignment="1">
      <alignment horizontal="center"/>
    </xf>
    <xf numFmtId="166" fontId="35" fillId="15" borderId="37" xfId="0" applyNumberFormat="1" applyFont="1" applyFill="1" applyBorder="1" applyAlignment="1">
      <alignment horizontal="center"/>
    </xf>
    <xf numFmtId="166" fontId="35" fillId="15" borderId="37" xfId="0" applyNumberFormat="1" applyFont="1" applyFill="1" applyBorder="1"/>
    <xf numFmtId="0" fontId="35" fillId="0" borderId="37" xfId="0" applyFont="1" applyBorder="1" applyAlignment="1"/>
    <xf numFmtId="166" fontId="35" fillId="15" borderId="37" xfId="0" applyNumberFormat="1" applyFont="1" applyFill="1" applyBorder="1" applyAlignment="1"/>
    <xf numFmtId="0" fontId="3" fillId="0" borderId="41" xfId="0" applyFont="1" applyFill="1" applyBorder="1"/>
    <xf numFmtId="0" fontId="0" fillId="14" borderId="37" xfId="0" applyFill="1" applyBorder="1" applyAlignment="1">
      <alignment horizontal="left"/>
    </xf>
    <xf numFmtId="0" fontId="0" fillId="0" borderId="37" xfId="0" applyBorder="1" applyAlignment="1">
      <alignment horizontal="left"/>
    </xf>
    <xf numFmtId="0" fontId="34" fillId="16" borderId="37" xfId="0" applyFont="1" applyFill="1" applyBorder="1" applyAlignment="1">
      <alignment horizontal="left"/>
    </xf>
    <xf numFmtId="9" fontId="35" fillId="16" borderId="37" xfId="2" applyFont="1" applyFill="1" applyBorder="1" applyAlignment="1">
      <alignment horizontal="center"/>
    </xf>
    <xf numFmtId="166" fontId="35" fillId="16" borderId="37" xfId="0" applyNumberFormat="1" applyFont="1" applyFill="1" applyBorder="1" applyAlignment="1">
      <alignment horizontal="center"/>
    </xf>
    <xf numFmtId="0" fontId="35" fillId="16" borderId="37" xfId="0" applyFont="1" applyFill="1" applyBorder="1" applyAlignment="1">
      <alignment horizontal="center"/>
    </xf>
    <xf numFmtId="0" fontId="34" fillId="16" borderId="37" xfId="0" applyFont="1" applyFill="1" applyBorder="1"/>
    <xf numFmtId="9" fontId="34" fillId="16" borderId="37" xfId="2" applyFont="1" applyFill="1" applyBorder="1"/>
    <xf numFmtId="166" fontId="34" fillId="16" borderId="37" xfId="0" applyNumberFormat="1" applyFont="1" applyFill="1" applyBorder="1"/>
    <xf numFmtId="0" fontId="34" fillId="14" borderId="0" xfId="0" applyFont="1" applyFill="1"/>
    <xf numFmtId="0" fontId="37" fillId="12" borderId="37" xfId="3" applyFont="1" applyFill="1" applyBorder="1"/>
    <xf numFmtId="0" fontId="37" fillId="14" borderId="37" xfId="3" applyFont="1" applyFill="1" applyBorder="1" applyAlignment="1">
      <alignment horizontal="left"/>
    </xf>
    <xf numFmtId="0" fontId="37" fillId="12" borderId="37" xfId="3" applyFont="1" applyFill="1" applyBorder="1" applyAlignment="1">
      <alignment horizontal="left"/>
    </xf>
    <xf numFmtId="0" fontId="37" fillId="0" borderId="37" xfId="3" applyFont="1" applyBorder="1"/>
    <xf numFmtId="0" fontId="35" fillId="12" borderId="37" xfId="0" applyFont="1" applyFill="1" applyBorder="1" applyAlignment="1">
      <alignment horizontal="left"/>
    </xf>
    <xf numFmtId="9" fontId="34" fillId="12" borderId="37" xfId="2" applyFont="1" applyFill="1" applyBorder="1" applyAlignment="1">
      <alignment horizontal="left"/>
    </xf>
    <xf numFmtId="0" fontId="37" fillId="0" borderId="0" xfId="3" applyFont="1"/>
    <xf numFmtId="0" fontId="37" fillId="16" borderId="37" xfId="3" applyFont="1" applyFill="1" applyBorder="1" applyAlignment="1">
      <alignment vertical="center" wrapText="1"/>
    </xf>
    <xf numFmtId="0" fontId="37" fillId="16" borderId="0" xfId="3" applyFont="1" applyFill="1"/>
    <xf numFmtId="0" fontId="37" fillId="16" borderId="0" xfId="3" applyFont="1" applyFill="1" applyAlignment="1">
      <alignment vertical="center"/>
    </xf>
    <xf numFmtId="10" fontId="34" fillId="14" borderId="37" xfId="0" applyNumberFormat="1" applyFont="1" applyFill="1" applyBorder="1" applyAlignment="1">
      <alignment horizontal="left"/>
    </xf>
    <xf numFmtId="3" fontId="34" fillId="12" borderId="37" xfId="0" applyNumberFormat="1" applyFont="1" applyFill="1" applyBorder="1" applyAlignment="1">
      <alignment horizontal="left"/>
    </xf>
    <xf numFmtId="10" fontId="4" fillId="2" borderId="10" xfId="2" applyNumberFormat="1" applyFont="1" applyFill="1" applyBorder="1" applyAlignment="1">
      <alignment horizontal="center" vertical="center"/>
    </xf>
    <xf numFmtId="0" fontId="37" fillId="12" borderId="0" xfId="3" applyFont="1" applyFill="1"/>
    <xf numFmtId="2" fontId="5" fillId="0" borderId="0" xfId="0" applyNumberFormat="1" applyFont="1"/>
    <xf numFmtId="0" fontId="5" fillId="0" borderId="37" xfId="0" applyFont="1" applyBorder="1"/>
    <xf numFmtId="164" fontId="5" fillId="0" borderId="37" xfId="0" applyNumberFormat="1" applyFont="1" applyBorder="1"/>
    <xf numFmtId="164" fontId="5" fillId="0" borderId="0" xfId="0" applyNumberFormat="1" applyFont="1"/>
    <xf numFmtId="0" fontId="7" fillId="4" borderId="0" xfId="0" applyFont="1" applyFill="1" applyAlignment="1">
      <alignment horizontal="center" vertical="center" wrapText="1"/>
    </xf>
    <xf numFmtId="0" fontId="5" fillId="0" borderId="0" xfId="0" applyFont="1" applyAlignment="1">
      <alignment horizontal="center"/>
    </xf>
    <xf numFmtId="0" fontId="8" fillId="2" borderId="0" xfId="0" applyFont="1" applyFill="1" applyAlignment="1">
      <alignment horizontal="center" vertical="center"/>
    </xf>
    <xf numFmtId="0" fontId="5" fillId="0" borderId="0" xfId="0" applyFont="1" applyAlignment="1"/>
    <xf numFmtId="0" fontId="4" fillId="5" borderId="6" xfId="0" applyFont="1" applyFill="1" applyBorder="1" applyAlignment="1">
      <alignment vertical="center"/>
    </xf>
    <xf numFmtId="0" fontId="4" fillId="6" borderId="7" xfId="0" applyFont="1" applyFill="1" applyBorder="1" applyAlignment="1"/>
    <xf numFmtId="0" fontId="4" fillId="0" borderId="8" xfId="0" applyFont="1" applyBorder="1" applyAlignment="1"/>
    <xf numFmtId="0" fontId="5" fillId="5" borderId="9" xfId="0" applyFont="1" applyFill="1" applyBorder="1" applyAlignment="1">
      <alignment vertical="center" wrapText="1"/>
    </xf>
    <xf numFmtId="0" fontId="4" fillId="0" borderId="10" xfId="0" applyFont="1" applyBorder="1" applyAlignment="1"/>
    <xf numFmtId="0" fontId="11" fillId="7" borderId="9" xfId="0" applyFont="1" applyFill="1" applyBorder="1" applyAlignment="1">
      <alignment vertical="center" wrapText="1"/>
    </xf>
    <xf numFmtId="0" fontId="4" fillId="6" borderId="8" xfId="0" applyFont="1" applyFill="1" applyBorder="1" applyAlignment="1"/>
    <xf numFmtId="0" fontId="4" fillId="2" borderId="10" xfId="0" applyFont="1" applyFill="1" applyBorder="1" applyAlignment="1"/>
    <xf numFmtId="0" fontId="5" fillId="8" borderId="11" xfId="0" applyFont="1" applyFill="1" applyBorder="1" applyAlignment="1">
      <alignment vertical="center" wrapText="1"/>
    </xf>
    <xf numFmtId="0" fontId="4" fillId="2" borderId="12" xfId="0" applyFont="1" applyFill="1" applyBorder="1" applyAlignment="1"/>
    <xf numFmtId="0" fontId="16" fillId="9" borderId="11" xfId="0" applyFont="1" applyFill="1" applyBorder="1" applyAlignment="1">
      <alignment vertical="center" wrapText="1"/>
    </xf>
    <xf numFmtId="0" fontId="4" fillId="0" borderId="12" xfId="0" applyFont="1" applyBorder="1" applyAlignment="1"/>
    <xf numFmtId="3" fontId="17" fillId="9" borderId="12" xfId="0" applyNumberFormat="1" applyFont="1" applyFill="1" applyBorder="1" applyAlignment="1">
      <alignment horizontal="center" vertical="center"/>
    </xf>
    <xf numFmtId="0" fontId="4" fillId="0" borderId="14" xfId="0" applyFont="1" applyBorder="1" applyAlignment="1"/>
    <xf numFmtId="0" fontId="5" fillId="8" borderId="9" xfId="0" applyFont="1" applyFill="1" applyBorder="1" applyAlignment="1">
      <alignment vertical="center" wrapText="1"/>
    </xf>
    <xf numFmtId="0" fontId="5" fillId="5" borderId="11" xfId="0" applyFont="1" applyFill="1" applyBorder="1" applyAlignment="1">
      <alignment vertical="center" wrapText="1"/>
    </xf>
    <xf numFmtId="0" fontId="8" fillId="2" borderId="0" xfId="0" applyFont="1" applyFill="1" applyAlignment="1">
      <alignment horizontal="center"/>
    </xf>
    <xf numFmtId="0" fontId="17" fillId="5" borderId="11" xfId="0" applyFont="1" applyFill="1" applyBorder="1" applyAlignment="1">
      <alignment vertical="center" wrapText="1"/>
    </xf>
    <xf numFmtId="164" fontId="9" fillId="5" borderId="12" xfId="0" applyNumberFormat="1" applyFont="1" applyFill="1" applyBorder="1" applyAlignment="1">
      <alignment horizontal="center"/>
    </xf>
    <xf numFmtId="0" fontId="5" fillId="8" borderId="6" xfId="0" applyFont="1" applyFill="1" applyBorder="1" applyAlignment="1">
      <alignment horizontal="left" vertical="center" wrapText="1"/>
    </xf>
    <xf numFmtId="0" fontId="5" fillId="8" borderId="7" xfId="0" applyFont="1" applyFill="1" applyBorder="1" applyAlignment="1">
      <alignment horizontal="left" vertical="center" wrapText="1"/>
    </xf>
    <xf numFmtId="0" fontId="14" fillId="8" borderId="11" xfId="0" applyFont="1" applyFill="1" applyBorder="1" applyAlignment="1">
      <alignment vertical="center" wrapText="1"/>
    </xf>
    <xf numFmtId="0" fontId="14" fillId="4" borderId="9" xfId="0" applyFont="1" applyFill="1" applyBorder="1" applyAlignment="1">
      <alignment vertical="center" wrapText="1"/>
    </xf>
    <xf numFmtId="0" fontId="14" fillId="8" borderId="9" xfId="0" applyFont="1" applyFill="1" applyBorder="1" applyAlignment="1">
      <alignment vertical="center" wrapText="1"/>
    </xf>
    <xf numFmtId="0" fontId="5" fillId="2" borderId="0" xfId="0" applyFont="1" applyFill="1" applyAlignment="1">
      <alignment horizontal="center" vertical="center"/>
    </xf>
    <xf numFmtId="0" fontId="32" fillId="2" borderId="0" xfId="0" applyFont="1" applyFill="1" applyAlignment="1">
      <alignment horizontal="center" vertical="center"/>
    </xf>
    <xf numFmtId="0" fontId="4" fillId="3" borderId="12" xfId="0" applyFont="1" applyFill="1" applyBorder="1" applyAlignment="1"/>
    <xf numFmtId="0" fontId="26" fillId="7" borderId="11" xfId="0" applyFont="1" applyFill="1" applyBorder="1" applyAlignment="1">
      <alignment vertical="center" wrapText="1"/>
    </xf>
    <xf numFmtId="0" fontId="28" fillId="2" borderId="0" xfId="0" applyFont="1" applyFill="1" applyAlignment="1">
      <alignment horizontal="center"/>
    </xf>
    <xf numFmtId="0" fontId="21" fillId="2" borderId="0" xfId="0" applyFont="1" applyFill="1" applyAlignment="1">
      <alignment horizontal="center" vertical="center"/>
    </xf>
    <xf numFmtId="164" fontId="31" fillId="7" borderId="30" xfId="0" applyNumberFormat="1" applyFont="1" applyFill="1" applyBorder="1" applyAlignment="1">
      <alignment horizontal="center" vertical="center"/>
    </xf>
    <xf numFmtId="0" fontId="4" fillId="10" borderId="31" xfId="0" applyFont="1" applyFill="1" applyBorder="1" applyAlignment="1"/>
    <xf numFmtId="3" fontId="8" fillId="5" borderId="34" xfId="0" applyNumberFormat="1" applyFont="1" applyFill="1" applyBorder="1" applyAlignment="1">
      <alignment horizontal="center" vertical="center"/>
    </xf>
    <xf numFmtId="0" fontId="4" fillId="11" borderId="35" xfId="0" applyFont="1" applyFill="1" applyBorder="1" applyAlignment="1"/>
    <xf numFmtId="0" fontId="9" fillId="5" borderId="6" xfId="0" applyFont="1" applyFill="1" applyBorder="1" applyAlignment="1">
      <alignment vertical="center"/>
    </xf>
    <xf numFmtId="0" fontId="5" fillId="0" borderId="37" xfId="0" applyFont="1" applyBorder="1" applyAlignment="1">
      <alignment horizontal="center"/>
    </xf>
    <xf numFmtId="0" fontId="33" fillId="2" borderId="0" xfId="0" applyFont="1" applyFill="1" applyAlignment="1">
      <alignment horizontal="center" wrapText="1"/>
    </xf>
    <xf numFmtId="0" fontId="3" fillId="14" borderId="38" xfId="0" applyFont="1" applyFill="1" applyBorder="1" applyAlignment="1">
      <alignment horizontal="center"/>
    </xf>
    <xf numFmtId="0" fontId="3" fillId="14" borderId="39" xfId="0" applyFont="1" applyFill="1" applyBorder="1" applyAlignment="1">
      <alignment horizontal="center"/>
    </xf>
    <xf numFmtId="0" fontId="3" fillId="14" borderId="40" xfId="0" applyFont="1" applyFill="1" applyBorder="1" applyAlignment="1">
      <alignment horizontal="center"/>
    </xf>
    <xf numFmtId="0" fontId="35" fillId="14" borderId="38" xfId="0" applyFont="1" applyFill="1" applyBorder="1" applyAlignment="1">
      <alignment horizontal="right"/>
    </xf>
    <xf numFmtId="0" fontId="35" fillId="14" borderId="39" xfId="0" applyFont="1" applyFill="1" applyBorder="1" applyAlignment="1">
      <alignment horizontal="right"/>
    </xf>
    <xf numFmtId="0" fontId="35" fillId="14" borderId="40" xfId="0" applyFont="1" applyFill="1" applyBorder="1" applyAlignment="1">
      <alignment horizontal="right"/>
    </xf>
    <xf numFmtId="0" fontId="3" fillId="12" borderId="38" xfId="0" applyFont="1" applyFill="1" applyBorder="1" applyAlignment="1">
      <alignment horizontal="center"/>
    </xf>
    <xf numFmtId="0" fontId="3" fillId="12" borderId="39" xfId="0" applyFont="1" applyFill="1" applyBorder="1" applyAlignment="1">
      <alignment horizontal="center"/>
    </xf>
    <xf numFmtId="0" fontId="3" fillId="12" borderId="40" xfId="0" applyFont="1" applyFill="1" applyBorder="1" applyAlignment="1">
      <alignment horizontal="center"/>
    </xf>
    <xf numFmtId="0" fontId="35" fillId="12" borderId="38" xfId="0" applyFont="1" applyFill="1" applyBorder="1" applyAlignment="1">
      <alignment horizontal="left"/>
    </xf>
    <xf numFmtId="0" fontId="35" fillId="12" borderId="39" xfId="0" applyFont="1" applyFill="1" applyBorder="1" applyAlignment="1">
      <alignment horizontal="left"/>
    </xf>
    <xf numFmtId="0" fontId="35" fillId="12" borderId="40" xfId="0" applyFont="1" applyFill="1" applyBorder="1" applyAlignment="1">
      <alignment horizontal="left"/>
    </xf>
    <xf numFmtId="0" fontId="35" fillId="12" borderId="38" xfId="0" applyFont="1" applyFill="1" applyBorder="1" applyAlignment="1">
      <alignment horizontal="right"/>
    </xf>
    <xf numFmtId="0" fontId="35" fillId="12" borderId="39" xfId="0" applyFont="1" applyFill="1" applyBorder="1" applyAlignment="1">
      <alignment horizontal="right"/>
    </xf>
    <xf numFmtId="0" fontId="35" fillId="12" borderId="40" xfId="0" applyFont="1" applyFill="1" applyBorder="1" applyAlignment="1">
      <alignment horizontal="right"/>
    </xf>
    <xf numFmtId="0" fontId="35" fillId="13" borderId="38" xfId="0" applyFont="1" applyFill="1" applyBorder="1" applyAlignment="1">
      <alignment horizontal="right"/>
    </xf>
    <xf numFmtId="0" fontId="35" fillId="13" borderId="39" xfId="0" applyFont="1" applyFill="1" applyBorder="1" applyAlignment="1">
      <alignment horizontal="right"/>
    </xf>
    <xf numFmtId="0" fontId="35" fillId="13" borderId="40" xfId="0" applyFont="1" applyFill="1" applyBorder="1" applyAlignment="1">
      <alignment horizontal="right"/>
    </xf>
    <xf numFmtId="0" fontId="35" fillId="16" borderId="37" xfId="0" applyFont="1" applyFill="1" applyBorder="1" applyAlignment="1">
      <alignment horizontal="right"/>
    </xf>
    <xf numFmtId="0" fontId="35" fillId="16" borderId="38" xfId="0" applyFont="1" applyFill="1" applyBorder="1" applyAlignment="1">
      <alignment horizontal="left"/>
    </xf>
    <xf numFmtId="0" fontId="35" fillId="16" borderId="39" xfId="0" applyFont="1" applyFill="1" applyBorder="1" applyAlignment="1">
      <alignment horizontal="left"/>
    </xf>
    <xf numFmtId="0" fontId="35" fillId="16" borderId="40" xfId="0" applyFont="1" applyFill="1" applyBorder="1" applyAlignment="1">
      <alignment horizontal="left"/>
    </xf>
    <xf numFmtId="0" fontId="35" fillId="0" borderId="38" xfId="0" applyFont="1" applyBorder="1" applyAlignment="1">
      <alignment horizontal="right"/>
    </xf>
    <xf numFmtId="0" fontId="35" fillId="0" borderId="39" xfId="0" applyFont="1" applyBorder="1" applyAlignment="1">
      <alignment horizontal="right"/>
    </xf>
    <xf numFmtId="0" fontId="35" fillId="0" borderId="40" xfId="0" applyFont="1" applyBorder="1" applyAlignment="1">
      <alignment horizontal="right"/>
    </xf>
  </cellXfs>
  <cellStyles count="4">
    <cellStyle name="Currency" xfId="1" builtinId="4"/>
    <cellStyle name="Hyperlink" xfId="3" builtinId="8"/>
    <cellStyle name="Normal" xfId="0" builtinId="0"/>
    <cellStyle name="Percent" xfId="2" builtinId="5"/>
  </cellStyles>
  <dxfs count="56">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ont>
        <strike val="0"/>
        <outline val="0"/>
        <shadow val="0"/>
        <vertAlign val="baseline"/>
        <sz val="18"/>
        <name val="Calibri"/>
        <family val="2"/>
        <scheme val="minor"/>
      </font>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10">
    <tableStyle name="Financial Projections-style" pivot="0" count="2" xr9:uid="{00000000-0011-0000-FFFF-FFFF00000000}">
      <tableStyleElement type="firstRowStripe" dxfId="55"/>
      <tableStyleElement type="secondRowStripe" dxfId="54"/>
    </tableStyle>
    <tableStyle name="Financial Projections-style 2" pivot="0" count="2" xr9:uid="{00000000-0011-0000-FFFF-FFFF01000000}">
      <tableStyleElement type="firstRowStripe" dxfId="53"/>
      <tableStyleElement type="secondRowStripe" dxfId="52"/>
    </tableStyle>
    <tableStyle name="Financial Projections-style 3" pivot="0" count="2" xr9:uid="{00000000-0011-0000-FFFF-FFFF02000000}">
      <tableStyleElement type="firstRowStripe" dxfId="51"/>
      <tableStyleElement type="secondRowStripe" dxfId="50"/>
    </tableStyle>
    <tableStyle name="Financial Projections-style 4" pivot="0" count="2" xr9:uid="{00000000-0011-0000-FFFF-FFFF03000000}">
      <tableStyleElement type="firstRowStripe" dxfId="49"/>
      <tableStyleElement type="secondRowStripe" dxfId="48"/>
    </tableStyle>
    <tableStyle name="Financial Projections-style 5" pivot="0" count="2" xr9:uid="{00000000-0011-0000-FFFF-FFFF04000000}">
      <tableStyleElement type="firstRowStripe" dxfId="47"/>
      <tableStyleElement type="secondRowStripe" dxfId="46"/>
    </tableStyle>
    <tableStyle name="Example-style" pivot="0" count="2" xr9:uid="{00000000-0011-0000-FFFF-FFFF05000000}">
      <tableStyleElement type="firstRowStripe" dxfId="45"/>
      <tableStyleElement type="secondRowStripe" dxfId="44"/>
    </tableStyle>
    <tableStyle name="Example-style 2" pivot="0" count="2" xr9:uid="{00000000-0011-0000-FFFF-FFFF06000000}">
      <tableStyleElement type="firstRowStripe" dxfId="43"/>
      <tableStyleElement type="secondRowStripe" dxfId="42"/>
    </tableStyle>
    <tableStyle name="Example-style 3" pivot="0" count="2" xr9:uid="{00000000-0011-0000-FFFF-FFFF07000000}">
      <tableStyleElement type="firstRowStripe" dxfId="41"/>
      <tableStyleElement type="secondRowStripe" dxfId="40"/>
    </tableStyle>
    <tableStyle name="Example-style 4" pivot="0" count="2" xr9:uid="{00000000-0011-0000-FFFF-FFFF08000000}">
      <tableStyleElement type="firstRowStripe" dxfId="39"/>
      <tableStyleElement type="secondRowStripe" dxfId="38"/>
    </tableStyle>
    <tableStyle name="Example-style 5" pivot="0" count="2" xr9:uid="{00000000-0011-0000-FFFF-FFFF09000000}">
      <tableStyleElement type="firstRowStripe" dxfId="37"/>
      <tableStyleElement type="secondRowStripe"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a:t>Revenue and Expenses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'Financial Projections'!$Y$14</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5.5620487602337662E-2"/>
                  <c:y val="3.11194858738887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E25-194A-8AD4-48CD0A46841F}"/>
                </c:ext>
              </c:extLst>
            </c:dLbl>
            <c:dLbl>
              <c:idx val="1"/>
              <c:layout>
                <c:manualLayout>
                  <c:x val="-4.7453518747105621E-2"/>
                  <c:y val="4.4456408391269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E25-194A-8AD4-48CD0A46841F}"/>
                </c:ext>
              </c:extLst>
            </c:dLbl>
            <c:dLbl>
              <c:idx val="2"/>
              <c:layout>
                <c:manualLayout>
                  <c:x val="-5.8074007957114399E-2"/>
                  <c:y val="-4.89020492303965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25-194A-8AD4-48CD0A46841F}"/>
                </c:ext>
              </c:extLst>
            </c:dLbl>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'Financial Projections'!$Z$12:$AB$13</c:f>
              <c:multiLvlStrCache>
                <c:ptCount val="3"/>
                <c:lvl>
                  <c:pt idx="0">
                    <c:v>Year 1</c:v>
                  </c:pt>
                  <c:pt idx="1">
                    <c:v>Year 2</c:v>
                  </c:pt>
                  <c:pt idx="2">
                    <c:v>Year 3</c:v>
                  </c:pt>
                </c:lvl>
                <c:lvl>
                  <c:pt idx="0">
                    <c:v>Revenue and Expenses</c:v>
                  </c:pt>
                </c:lvl>
              </c:multiLvlStrCache>
            </c:multiLvlStrRef>
          </c:cat>
          <c:val>
            <c:numRef>
              <c:f>'Financial Projections'!$Z$14:$AB$14</c:f>
              <c:numCache>
                <c:formatCode>"$"#,##0</c:formatCode>
                <c:ptCount val="3"/>
                <c:pt idx="0">
                  <c:v>432000</c:v>
                </c:pt>
                <c:pt idx="1">
                  <c:v>972000</c:v>
                </c:pt>
                <c:pt idx="2">
                  <c:v>2187000</c:v>
                </c:pt>
              </c:numCache>
            </c:numRef>
          </c:val>
          <c:smooth val="0"/>
          <c:extLst>
            <c:ext xmlns:c16="http://schemas.microsoft.com/office/drawing/2014/chart" uri="{C3380CC4-5D6E-409C-BE32-E72D297353CC}">
              <c16:uniqueId val="{00000000-5E25-194A-8AD4-48CD0A46841F}"/>
            </c:ext>
          </c:extLst>
        </c:ser>
        <c:ser>
          <c:idx val="1"/>
          <c:order val="1"/>
          <c:tx>
            <c:strRef>
              <c:f>'Financial Projections'!$Y$15</c:f>
              <c:strCache>
                <c:ptCount val="1"/>
                <c:pt idx="0">
                  <c:v>COGS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6.1065133505825715E-2"/>
                  <c:y val="-4.44564083912696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25-194A-8AD4-48CD0A46841F}"/>
                </c:ext>
              </c:extLst>
            </c:dLbl>
            <c:dLbl>
              <c:idx val="1"/>
              <c:layout>
                <c:manualLayout>
                  <c:x val="-5.5620487602337641E-2"/>
                  <c:y val="-4.22335879717061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25-194A-8AD4-48CD0A46841F}"/>
                </c:ext>
              </c:extLst>
            </c:dLbl>
            <c:dLbl>
              <c:idx val="2"/>
              <c:layout>
                <c:manualLayout>
                  <c:x val="-4.7184716150138042E-2"/>
                  <c:y val="4.6679228810833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25-194A-8AD4-48CD0A46841F}"/>
                </c:ext>
              </c:extLst>
            </c:dLbl>
            <c:spPr>
              <a:noFill/>
              <a:ln>
                <a:noFill/>
              </a:ln>
              <a:effectLst/>
            </c:spPr>
            <c:txPr>
              <a:bodyPr rot="0" spcFirstLastPara="1" vertOverflow="ellipsis" vert="horz" wrap="square" anchor="ctr" anchorCtr="1"/>
              <a:lstStyle/>
              <a:p>
                <a:pPr>
                  <a:defRPr sz="15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'Financial Projections'!$Z$12:$AB$13</c:f>
              <c:multiLvlStrCache>
                <c:ptCount val="3"/>
                <c:lvl>
                  <c:pt idx="0">
                    <c:v>Year 1</c:v>
                  </c:pt>
                  <c:pt idx="1">
                    <c:v>Year 2</c:v>
                  </c:pt>
                  <c:pt idx="2">
                    <c:v>Year 3</c:v>
                  </c:pt>
                </c:lvl>
                <c:lvl>
                  <c:pt idx="0">
                    <c:v>Revenue and Expenses</c:v>
                  </c:pt>
                </c:lvl>
              </c:multiLvlStrCache>
            </c:multiLvlStrRef>
          </c:cat>
          <c:val>
            <c:numRef>
              <c:f>'Financial Projections'!$Z$15:$AB$15</c:f>
              <c:numCache>
                <c:formatCode>"$"#,##0</c:formatCode>
                <c:ptCount val="3"/>
                <c:pt idx="0">
                  <c:v>597827.93500000006</c:v>
                </c:pt>
                <c:pt idx="1">
                  <c:v>984443.61166666658</c:v>
                </c:pt>
                <c:pt idx="2">
                  <c:v>1389051.6443333332</c:v>
                </c:pt>
              </c:numCache>
            </c:numRef>
          </c:val>
          <c:smooth val="0"/>
          <c:extLst>
            <c:ext xmlns:c16="http://schemas.microsoft.com/office/drawing/2014/chart" uri="{C3380CC4-5D6E-409C-BE32-E72D297353CC}">
              <c16:uniqueId val="{00000001-5E25-194A-8AD4-48CD0A46841F}"/>
            </c:ext>
          </c:extLst>
        </c:ser>
        <c:dLbls>
          <c:dLblPos val="ctr"/>
          <c:showLegendKey val="0"/>
          <c:showVal val="1"/>
          <c:showCatName val="0"/>
          <c:showSerName val="0"/>
          <c:showPercent val="0"/>
          <c:showBubbleSize val="0"/>
        </c:dLbls>
        <c:marker val="1"/>
        <c:smooth val="0"/>
        <c:axId val="971960320"/>
        <c:axId val="1622669215"/>
      </c:lineChart>
      <c:catAx>
        <c:axId val="97196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1622669215"/>
        <c:crosses val="autoZero"/>
        <c:auto val="1"/>
        <c:lblAlgn val="ctr"/>
        <c:lblOffset val="100"/>
        <c:noMultiLvlLbl val="0"/>
      </c:catAx>
      <c:valAx>
        <c:axId val="1622669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971960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5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28575</xdr:colOff>
      <xdr:row>11</xdr:row>
      <xdr:rowOff>114300</xdr:rowOff>
    </xdr:from>
    <xdr:ext cx="923925" cy="619125"/>
    <xdr:pic>
      <xdr:nvPicPr>
        <xdr:cNvPr id="2" name="image3.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19050</xdr:colOff>
      <xdr:row>27</xdr:row>
      <xdr:rowOff>76200</xdr:rowOff>
    </xdr:from>
    <xdr:ext cx="923925" cy="619125"/>
    <xdr:pic>
      <xdr:nvPicPr>
        <xdr:cNvPr id="3" name="image1.jp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495300</xdr:colOff>
      <xdr:row>0</xdr:row>
      <xdr:rowOff>133350</xdr:rowOff>
    </xdr:from>
    <xdr:ext cx="1419225" cy="1362075"/>
    <xdr:pic>
      <xdr:nvPicPr>
        <xdr:cNvPr id="4" name="image2.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13</xdr:col>
      <xdr:colOff>28575</xdr:colOff>
      <xdr:row>11</xdr:row>
      <xdr:rowOff>114300</xdr:rowOff>
    </xdr:from>
    <xdr:ext cx="923925" cy="619125"/>
    <xdr:pic>
      <xdr:nvPicPr>
        <xdr:cNvPr id="5" name="image3.jpg" title="Image">
          <a:extLst>
            <a:ext uri="{FF2B5EF4-FFF2-40B4-BE49-F238E27FC236}">
              <a16:creationId xmlns:a16="http://schemas.microsoft.com/office/drawing/2014/main" id="{F4C746BB-441D-E341-B694-F48FA6302FCD}"/>
            </a:ext>
          </a:extLst>
        </xdr:cNvPr>
        <xdr:cNvPicPr preferRelativeResize="0"/>
      </xdr:nvPicPr>
      <xdr:blipFill>
        <a:blip xmlns:r="http://schemas.openxmlformats.org/officeDocument/2006/relationships" r:embed="rId1" cstate="print"/>
        <a:stretch>
          <a:fillRect/>
        </a:stretch>
      </xdr:blipFill>
      <xdr:spPr>
        <a:xfrm>
          <a:off x="4943475" y="3568700"/>
          <a:ext cx="923925" cy="619125"/>
        </a:xfrm>
        <a:prstGeom prst="rect">
          <a:avLst/>
        </a:prstGeom>
        <a:noFill/>
      </xdr:spPr>
    </xdr:pic>
    <xdr:clientData fLocksWithSheet="0"/>
  </xdr:oneCellAnchor>
  <xdr:oneCellAnchor>
    <xdr:from>
      <xdr:col>13</xdr:col>
      <xdr:colOff>19050</xdr:colOff>
      <xdr:row>27</xdr:row>
      <xdr:rowOff>76200</xdr:rowOff>
    </xdr:from>
    <xdr:ext cx="923925" cy="619125"/>
    <xdr:pic>
      <xdr:nvPicPr>
        <xdr:cNvPr id="6" name="image1.jpg" title="Image">
          <a:extLst>
            <a:ext uri="{FF2B5EF4-FFF2-40B4-BE49-F238E27FC236}">
              <a16:creationId xmlns:a16="http://schemas.microsoft.com/office/drawing/2014/main" id="{8E85CA38-99A0-884B-B90C-F86FCA19DDF5}"/>
            </a:ext>
          </a:extLst>
        </xdr:cNvPr>
        <xdr:cNvPicPr preferRelativeResize="0"/>
      </xdr:nvPicPr>
      <xdr:blipFill>
        <a:blip xmlns:r="http://schemas.openxmlformats.org/officeDocument/2006/relationships" r:embed="rId2" cstate="print"/>
        <a:stretch>
          <a:fillRect/>
        </a:stretch>
      </xdr:blipFill>
      <xdr:spPr>
        <a:xfrm>
          <a:off x="4933950" y="8547100"/>
          <a:ext cx="923925" cy="619125"/>
        </a:xfrm>
        <a:prstGeom prst="rect">
          <a:avLst/>
        </a:prstGeom>
        <a:noFill/>
      </xdr:spPr>
    </xdr:pic>
    <xdr:clientData fLocksWithSheet="0"/>
  </xdr:oneCellAnchor>
  <xdr:oneCellAnchor>
    <xdr:from>
      <xdr:col>19</xdr:col>
      <xdr:colOff>28575</xdr:colOff>
      <xdr:row>11</xdr:row>
      <xdr:rowOff>114300</xdr:rowOff>
    </xdr:from>
    <xdr:ext cx="923925" cy="619125"/>
    <xdr:pic>
      <xdr:nvPicPr>
        <xdr:cNvPr id="8" name="image3.jpg" title="Image">
          <a:extLst>
            <a:ext uri="{FF2B5EF4-FFF2-40B4-BE49-F238E27FC236}">
              <a16:creationId xmlns:a16="http://schemas.microsoft.com/office/drawing/2014/main" id="{9B5318FF-7048-A546-931E-0D7F31ECE381}"/>
            </a:ext>
          </a:extLst>
        </xdr:cNvPr>
        <xdr:cNvPicPr preferRelativeResize="0"/>
      </xdr:nvPicPr>
      <xdr:blipFill>
        <a:blip xmlns:r="http://schemas.openxmlformats.org/officeDocument/2006/relationships" r:embed="rId1" cstate="print"/>
        <a:stretch>
          <a:fillRect/>
        </a:stretch>
      </xdr:blipFill>
      <xdr:spPr>
        <a:xfrm>
          <a:off x="10823575" y="3581400"/>
          <a:ext cx="923925" cy="619125"/>
        </a:xfrm>
        <a:prstGeom prst="rect">
          <a:avLst/>
        </a:prstGeom>
        <a:noFill/>
      </xdr:spPr>
    </xdr:pic>
    <xdr:clientData fLocksWithSheet="0"/>
  </xdr:oneCellAnchor>
  <xdr:oneCellAnchor>
    <xdr:from>
      <xdr:col>19</xdr:col>
      <xdr:colOff>19050</xdr:colOff>
      <xdr:row>27</xdr:row>
      <xdr:rowOff>76200</xdr:rowOff>
    </xdr:from>
    <xdr:ext cx="923925" cy="619125"/>
    <xdr:pic>
      <xdr:nvPicPr>
        <xdr:cNvPr id="9" name="image1.jpg" title="Image">
          <a:extLst>
            <a:ext uri="{FF2B5EF4-FFF2-40B4-BE49-F238E27FC236}">
              <a16:creationId xmlns:a16="http://schemas.microsoft.com/office/drawing/2014/main" id="{97D015A8-B65C-944E-9474-0DFB6A512DD5}"/>
            </a:ext>
          </a:extLst>
        </xdr:cNvPr>
        <xdr:cNvPicPr preferRelativeResize="0"/>
      </xdr:nvPicPr>
      <xdr:blipFill>
        <a:blip xmlns:r="http://schemas.openxmlformats.org/officeDocument/2006/relationships" r:embed="rId2" cstate="print"/>
        <a:stretch>
          <a:fillRect/>
        </a:stretch>
      </xdr:blipFill>
      <xdr:spPr>
        <a:xfrm>
          <a:off x="10814050" y="8610600"/>
          <a:ext cx="923925" cy="619125"/>
        </a:xfrm>
        <a:prstGeom prst="rect">
          <a:avLst/>
        </a:prstGeom>
        <a:noFill/>
      </xdr:spPr>
    </xdr:pic>
    <xdr:clientData fLocksWithSheet="0"/>
  </xdr:oneCellAnchor>
  <xdr:twoCellAnchor>
    <xdr:from>
      <xdr:col>23</xdr:col>
      <xdr:colOff>985212</xdr:colOff>
      <xdr:row>17</xdr:row>
      <xdr:rowOff>167792</xdr:rowOff>
    </xdr:from>
    <xdr:to>
      <xdr:col>32</xdr:col>
      <xdr:colOff>307879</xdr:colOff>
      <xdr:row>27</xdr:row>
      <xdr:rowOff>115454</xdr:rowOff>
    </xdr:to>
    <xdr:graphicFrame macro="">
      <xdr:nvGraphicFramePr>
        <xdr:cNvPr id="10" name="Chart 9">
          <a:extLst>
            <a:ext uri="{FF2B5EF4-FFF2-40B4-BE49-F238E27FC236}">
              <a16:creationId xmlns:a16="http://schemas.microsoft.com/office/drawing/2014/main" id="{87895E91-E49A-1A27-EB70-3E0354D78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61" headerRowCount="0" headerRowDxfId="35" dataDxfId="34" totalsRowDxfId="33">
  <tableColumns count="1">
    <tableColumn id="1" xr3:uid="{00000000-0010-0000-0000-000001000000}" name="Column1" dataDxfId="32"/>
  </tableColumns>
  <tableStyleInfo name="Financial Projection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F65" headerRowCount="0" headerRowDxfId="31" dataDxfId="30" totalsRowDxfId="29">
  <tableColumns count="1">
    <tableColumn id="1" xr3:uid="{00000000-0010-0000-0100-000001000000}" name="Column1" dataDxfId="28"/>
  </tableColumns>
  <tableStyleInfo name="Financial Projection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48" headerRowCount="0" headerRowDxfId="27" dataDxfId="26" totalsRowDxfId="25">
  <tableColumns count="1">
    <tableColumn id="1" xr3:uid="{00000000-0010-0000-0200-000001000000}" name="Column1" dataDxfId="24"/>
  </tableColumns>
  <tableStyleInfo name="Financial Projection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I49:I51" headerRowCount="0" headerRowDxfId="23" dataDxfId="22" totalsRowDxfId="21">
  <tableColumns count="1">
    <tableColumn id="1" xr3:uid="{00000000-0010-0000-0300-000001000000}" name="Column1" dataDxfId="20"/>
  </tableColumns>
  <tableStyleInfo name="Financial Projection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I74" headerRowCount="0" headerRowDxfId="19" dataDxfId="18" totalsRowDxfId="17">
  <tableColumns count="1">
    <tableColumn id="1" xr3:uid="{00000000-0010-0000-0400-000001000000}" name="Column1" dataDxfId="16"/>
  </tableColumns>
  <tableStyleInfo name="Financial Projection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1BDAF8F-C44D-2648-949D-A413B826732A}" name="Table_112" displayName="Table_112" ref="N61" headerRowCount="0" headerRowDxfId="15" dataDxfId="14" totalsRowDxfId="13">
  <tableColumns count="1">
    <tableColumn id="1" xr3:uid="{B4673C58-D30A-F745-99BE-1C6BF799B0F2}" name="Column1" dataDxfId="12">
      <calculatedColumnFormula>L61*M61</calculatedColumnFormula>
    </tableColumn>
  </tableColumns>
  <tableStyleInfo name="Financial Projections-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0341F0D-9BB4-184C-B023-1916B4670A55}" name="Table_213" displayName="Table_213" ref="N65" headerRowCount="0" headerRowDxfId="11" dataDxfId="10" totalsRowDxfId="9">
  <tableColumns count="1">
    <tableColumn id="1" xr3:uid="{C827BA14-5CD0-634A-AE3A-3096FD392895}" name="Column1" dataDxfId="8">
      <calculatedColumnFormula>L65*M65</calculatedColumnFormula>
    </tableColumn>
  </tableColumns>
  <tableStyleInfo name="Financial Projections-style 2"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ADBFDC2-A408-9649-9BFE-2005080A96E3}" name="Table_11214" displayName="Table_11214" ref="T61" headerRowCount="0" headerRowDxfId="7" dataDxfId="6" totalsRowDxfId="5">
  <tableColumns count="1">
    <tableColumn id="1" xr3:uid="{EC384443-BCB1-EA44-9428-0FA6BDAAE7FC}" name="Column1" dataDxfId="4">
      <calculatedColumnFormula>R61*S61</calculatedColumnFormula>
    </tableColumn>
  </tableColumns>
  <tableStyleInfo name="Financial Projections-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6119BC0-A696-E648-8E2D-2BB60629F445}" name="Table_21315" displayName="Table_21315" ref="T65" headerRowCount="0" headerRowDxfId="3" dataDxfId="2" totalsRowDxfId="1">
  <tableColumns count="1">
    <tableColumn id="1" xr3:uid="{DFFB7434-3304-AF4A-B689-68B1301DEE13}" name="Column1" dataDxfId="0">
      <calculatedColumnFormula>R65*S65</calculatedColumnFormula>
    </tableColumn>
  </tableColumns>
  <tableStyleInfo name="Financial Projections-style 2"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k6agency.com/instagram-ads-cost/" TargetMode="External"/><Relationship Id="rId13" Type="http://schemas.openxmlformats.org/officeDocument/2006/relationships/hyperlink" Target="https://www.cadcrowd.com/blog/how-much-does-product-design-cost-what-are-prices-for-freelance-design-firms/" TargetMode="External"/><Relationship Id="rId18" Type="http://schemas.openxmlformats.org/officeDocument/2006/relationships/hyperlink" Target="https://www.salary.com/research/salary/recruiting/software-qa-engineer-salary" TargetMode="External"/><Relationship Id="rId3" Type="http://schemas.openxmlformats.org/officeDocument/2006/relationships/hyperlink" Target="https://www.applemust.com/how-apple-pay-makes-money-merchant-transaction-fees/" TargetMode="External"/><Relationship Id="rId21" Type="http://schemas.openxmlformats.org/officeDocument/2006/relationships/hyperlink" Target="https://buybitcoinworldwide.com/venmo-statistics/" TargetMode="External"/><Relationship Id="rId7" Type="http://schemas.openxmlformats.org/officeDocument/2006/relationships/hyperlink" Target="https://www.usps.com/ship/priority-mail.htm" TargetMode="External"/><Relationship Id="rId12" Type="http://schemas.openxmlformats.org/officeDocument/2006/relationships/hyperlink" Target="https://www.provendatarecovery.com/blog/cyber-security-cost-expenses-fees/" TargetMode="External"/><Relationship Id="rId17" Type="http://schemas.openxmlformats.org/officeDocument/2006/relationships/hyperlink" Target="https://www.payscale.com/research/US/Job=Software_Engineer/Salary" TargetMode="External"/><Relationship Id="rId2" Type="http://schemas.openxmlformats.org/officeDocument/2006/relationships/hyperlink" Target="https://merchantcostconsulting.com/lower-credit-card-processing-fees/paypal-and-venmo-fees-rate-increases-and-updates/" TargetMode="External"/><Relationship Id="rId16" Type="http://schemas.openxmlformats.org/officeDocument/2006/relationships/hyperlink" Target="https://coolparcel.com/how-to-ship-something/electronics/" TargetMode="External"/><Relationship Id="rId20" Type="http://schemas.openxmlformats.org/officeDocument/2006/relationships/hyperlink" Target="https://www.businessofapps.com/data/venmo-statistics/" TargetMode="External"/><Relationship Id="rId1" Type="http://schemas.openxmlformats.org/officeDocument/2006/relationships/hyperlink" Target="https://www.amazon.com/Raspberry-Model-2019-Quad-Bluetooth/dp/B07TD43PDZ/ref=asc_df_B07TD43PDZ/?tag=hyprod-20&amp;linkCode=df0&amp;hvadid=380013417597&amp;hvpos=&amp;hvnetw=g&amp;hvrand=2597419601287328616&amp;hvpone=&amp;hvptwo=&amp;hvqmt=&amp;hvdev=c&amp;hvdvcmdl=&amp;hvlocint=&amp;hvlocphy=9073456&amp;hvtargid=pla-781430589105&amp;psc=1&amp;tag=&amp;ref=&amp;adgrpid=77922879259&amp;hvpone=&amp;hvptwo=&amp;hvadid=380013417597&amp;hvpos=&amp;hvnetw=g&amp;hvrand=2597419601287328616&amp;hvqmt=&amp;hvdev=c&amp;hvdvcmdl=&amp;hvlocint=&amp;hvlocphy=9073456&amp;hvtargid=pla-781430589105" TargetMode="External"/><Relationship Id="rId6" Type="http://schemas.openxmlformats.org/officeDocument/2006/relationships/hyperlink" Target="https://www.businessinsider.in/business/corporates/news/paytm-payments-bank-overachieved-its-target-of-issuing-visa-debit-cards-at-7-million-in-fy21-as-against-goal-of-1-million/articleshow/89918699.cms" TargetMode="External"/><Relationship Id="rId11" Type="http://schemas.openxmlformats.org/officeDocument/2006/relationships/hyperlink" Target="https://firebase.google.com/pricing" TargetMode="External"/><Relationship Id="rId5" Type="http://schemas.openxmlformats.org/officeDocument/2006/relationships/hyperlink" Target="https://www.paytmbank.com/ratesCharges" TargetMode="External"/><Relationship Id="rId15" Type="http://schemas.openxmlformats.org/officeDocument/2006/relationships/hyperlink" Target="https://www.integrasources.com/blog/guide-consumer-electronics-certification-us-eu-requirements-consider-mass-production/" TargetMode="External"/><Relationship Id="rId10" Type="http://schemas.openxmlformats.org/officeDocument/2006/relationships/hyperlink" Target="https://graphy.com/blog/youtube-ads-cost/" TargetMode="External"/><Relationship Id="rId19" Type="http://schemas.openxmlformats.org/officeDocument/2006/relationships/hyperlink" Target="https://builtin.com/salaries/dev-engineer/hardware-engineer" TargetMode="External"/><Relationship Id="rId4" Type="http://schemas.openxmlformats.org/officeDocument/2006/relationships/hyperlink" Target="https://www.invisibly.com/learn-blog/how-much-is-data-worth/" TargetMode="External"/><Relationship Id="rId9" Type="http://schemas.openxmlformats.org/officeDocument/2006/relationships/hyperlink" Target="https://www.wordstream.com/blog/ws/2015/05/21/how-much-does-adwords-cost" TargetMode="External"/><Relationship Id="rId14" Type="http://schemas.openxmlformats.org/officeDocument/2006/relationships/hyperlink" Target="https://axonim.com/blog/electronics-development-cost-estimation.html" TargetMode="External"/><Relationship Id="rId22" Type="http://schemas.openxmlformats.org/officeDocument/2006/relationships/hyperlink" Target="https://www.credit.com/blog/how-a-credit-card-is-made-74903/"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k6agency.com/instagram-ads-cost/" TargetMode="External"/><Relationship Id="rId13" Type="http://schemas.openxmlformats.org/officeDocument/2006/relationships/hyperlink" Target="https://www.cadcrowd.com/blog/how-much-does-product-design-cost-what-are-prices-for-freelance-design-firms/" TargetMode="External"/><Relationship Id="rId18" Type="http://schemas.openxmlformats.org/officeDocument/2006/relationships/hyperlink" Target="https://www.salary.com/research/salary/recruiting/software-qa-engineer-salary" TargetMode="External"/><Relationship Id="rId3" Type="http://schemas.openxmlformats.org/officeDocument/2006/relationships/hyperlink" Target="https://www.applemust.com/how-apple-pay-makes-money-merchant-transaction-fees/" TargetMode="External"/><Relationship Id="rId21" Type="http://schemas.openxmlformats.org/officeDocument/2006/relationships/hyperlink" Target="https://buybitcoinworldwide.com/venmo-statistics/" TargetMode="External"/><Relationship Id="rId7" Type="http://schemas.openxmlformats.org/officeDocument/2006/relationships/hyperlink" Target="https://www.usps.com/ship/priority-mail.htm" TargetMode="External"/><Relationship Id="rId12" Type="http://schemas.openxmlformats.org/officeDocument/2006/relationships/hyperlink" Target="https://www.provendatarecovery.com/blog/cyber-security-cost-expenses-fees/" TargetMode="External"/><Relationship Id="rId17" Type="http://schemas.openxmlformats.org/officeDocument/2006/relationships/hyperlink" Target="https://www.payscale.com/research/US/Job=Software_Engineer/Salary" TargetMode="External"/><Relationship Id="rId2" Type="http://schemas.openxmlformats.org/officeDocument/2006/relationships/hyperlink" Target="https://merchantcostconsulting.com/lower-credit-card-processing-fees/paypal-and-venmo-fees-rate-increases-and-updates/" TargetMode="External"/><Relationship Id="rId16" Type="http://schemas.openxmlformats.org/officeDocument/2006/relationships/hyperlink" Target="https://coolparcel.com/how-to-ship-something/electronics/" TargetMode="External"/><Relationship Id="rId20" Type="http://schemas.openxmlformats.org/officeDocument/2006/relationships/hyperlink" Target="https://www.businessofapps.com/data/venmo-statistics/" TargetMode="External"/><Relationship Id="rId1" Type="http://schemas.openxmlformats.org/officeDocument/2006/relationships/hyperlink" Target="https://www.amazon.com/Raspberry-Model-2019-Quad-Bluetooth/dp/B07TD43PDZ/ref=asc_df_B07TD43PDZ/?tag=hyprod-20&amp;linkCode=df0&amp;hvadid=380013417597&amp;hvpos=&amp;hvnetw=g&amp;hvrand=2597419601287328616&amp;hvpone=&amp;hvptwo=&amp;hvqmt=&amp;hvdev=c&amp;hvdvcmdl=&amp;hvlocint=&amp;hvlocphy=9073456&amp;hvtargid=pla-781430589105&amp;psc=1&amp;tag=&amp;ref=&amp;adgrpid=77922879259&amp;hvpone=&amp;hvptwo=&amp;hvadid=380013417597&amp;hvpos=&amp;hvnetw=g&amp;hvrand=2597419601287328616&amp;hvqmt=&amp;hvdev=c&amp;hvdvcmdl=&amp;hvlocint=&amp;hvlocphy=9073456&amp;hvtargid=pla-781430589105" TargetMode="External"/><Relationship Id="rId6" Type="http://schemas.openxmlformats.org/officeDocument/2006/relationships/hyperlink" Target="https://www.businessinsider.in/business/corporates/news/paytm-payments-bank-overachieved-its-target-of-issuing-visa-debit-cards-at-7-million-in-fy21-as-against-goal-of-1-million/articleshow/89918699.cms" TargetMode="External"/><Relationship Id="rId11" Type="http://schemas.openxmlformats.org/officeDocument/2006/relationships/hyperlink" Target="https://firebase.google.com/pricing" TargetMode="External"/><Relationship Id="rId5" Type="http://schemas.openxmlformats.org/officeDocument/2006/relationships/hyperlink" Target="https://www.paytmbank.com/ratesCharges" TargetMode="External"/><Relationship Id="rId15" Type="http://schemas.openxmlformats.org/officeDocument/2006/relationships/hyperlink" Target="https://www.integrasources.com/blog/guide-consumer-electronics-certification-us-eu-requirements-consider-mass-production/" TargetMode="External"/><Relationship Id="rId10" Type="http://schemas.openxmlformats.org/officeDocument/2006/relationships/hyperlink" Target="https://graphy.com/blog/youtube-ads-cost/" TargetMode="External"/><Relationship Id="rId19" Type="http://schemas.openxmlformats.org/officeDocument/2006/relationships/hyperlink" Target="https://builtin.com/salaries/dev-engineer/hardware-engineer" TargetMode="External"/><Relationship Id="rId4" Type="http://schemas.openxmlformats.org/officeDocument/2006/relationships/hyperlink" Target="https://www.invisibly.com/learn-blog/how-much-is-data-worth/" TargetMode="External"/><Relationship Id="rId9" Type="http://schemas.openxmlformats.org/officeDocument/2006/relationships/hyperlink" Target="https://www.wordstream.com/blog/ws/2015/05/21/how-much-does-adwords-cost" TargetMode="External"/><Relationship Id="rId14" Type="http://schemas.openxmlformats.org/officeDocument/2006/relationships/hyperlink" Target="https://axonim.com/blog/electronics-development-cost-estimation.html" TargetMode="External"/><Relationship Id="rId22" Type="http://schemas.openxmlformats.org/officeDocument/2006/relationships/hyperlink" Target="https://www.credit.com/blog/how-a-credit-card-is-made-74903/"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k6agency.com/instagram-ads-cost/" TargetMode="External"/><Relationship Id="rId13" Type="http://schemas.openxmlformats.org/officeDocument/2006/relationships/hyperlink" Target="https://www.cadcrowd.com/blog/how-much-does-product-design-cost-what-are-prices-for-freelance-design-firms/" TargetMode="External"/><Relationship Id="rId18" Type="http://schemas.openxmlformats.org/officeDocument/2006/relationships/hyperlink" Target="https://www.salary.com/research/salary/recruiting/software-qa-engineer-salary" TargetMode="External"/><Relationship Id="rId3" Type="http://schemas.openxmlformats.org/officeDocument/2006/relationships/hyperlink" Target="https://www.applemust.com/how-apple-pay-makes-money-merchant-transaction-fees/" TargetMode="External"/><Relationship Id="rId21" Type="http://schemas.openxmlformats.org/officeDocument/2006/relationships/hyperlink" Target="https://buybitcoinworldwide.com/venmo-statistics/" TargetMode="External"/><Relationship Id="rId7" Type="http://schemas.openxmlformats.org/officeDocument/2006/relationships/hyperlink" Target="https://www.usps.com/ship/priority-mail.htm" TargetMode="External"/><Relationship Id="rId12" Type="http://schemas.openxmlformats.org/officeDocument/2006/relationships/hyperlink" Target="https://www.provendatarecovery.com/blog/cyber-security-cost-expenses-fees/" TargetMode="External"/><Relationship Id="rId17" Type="http://schemas.openxmlformats.org/officeDocument/2006/relationships/hyperlink" Target="https://www.payscale.com/research/US/Job=Software_Engineer/Salary" TargetMode="External"/><Relationship Id="rId2" Type="http://schemas.openxmlformats.org/officeDocument/2006/relationships/hyperlink" Target="https://merchantcostconsulting.com/lower-credit-card-processing-fees/paypal-and-venmo-fees-rate-increases-and-updates/" TargetMode="External"/><Relationship Id="rId16" Type="http://schemas.openxmlformats.org/officeDocument/2006/relationships/hyperlink" Target="https://coolparcel.com/how-to-ship-something/electronics/" TargetMode="External"/><Relationship Id="rId20" Type="http://schemas.openxmlformats.org/officeDocument/2006/relationships/hyperlink" Target="https://www.businessofapps.com/data/venmo-statistics/" TargetMode="External"/><Relationship Id="rId1" Type="http://schemas.openxmlformats.org/officeDocument/2006/relationships/hyperlink" Target="https://www.amazon.com/Raspberry-Model-2019-Quad-Bluetooth/dp/B07TD43PDZ/ref=asc_df_B07TD43PDZ/?tag=hyprod-20&amp;linkCode=df0&amp;hvadid=380013417597&amp;hvpos=&amp;hvnetw=g&amp;hvrand=2597419601287328616&amp;hvpone=&amp;hvptwo=&amp;hvqmt=&amp;hvdev=c&amp;hvdvcmdl=&amp;hvlocint=&amp;hvlocphy=9073456&amp;hvtargid=pla-781430589105&amp;psc=1&amp;tag=&amp;ref=&amp;adgrpid=77922879259&amp;hvpone=&amp;hvptwo=&amp;hvadid=380013417597&amp;hvpos=&amp;hvnetw=g&amp;hvrand=2597419601287328616&amp;hvqmt=&amp;hvdev=c&amp;hvdvcmdl=&amp;hvlocint=&amp;hvlocphy=9073456&amp;hvtargid=pla-781430589105" TargetMode="External"/><Relationship Id="rId6" Type="http://schemas.openxmlformats.org/officeDocument/2006/relationships/hyperlink" Target="https://www.businessinsider.in/business/corporates/news/paytm-payments-bank-overachieved-its-target-of-issuing-visa-debit-cards-at-7-million-in-fy21-as-against-goal-of-1-million/articleshow/89918699.cms" TargetMode="External"/><Relationship Id="rId11" Type="http://schemas.openxmlformats.org/officeDocument/2006/relationships/hyperlink" Target="https://firebase.google.com/pricing" TargetMode="External"/><Relationship Id="rId5" Type="http://schemas.openxmlformats.org/officeDocument/2006/relationships/hyperlink" Target="https://www.paytmbank.com/ratesCharges" TargetMode="External"/><Relationship Id="rId15" Type="http://schemas.openxmlformats.org/officeDocument/2006/relationships/hyperlink" Target="https://www.integrasources.com/blog/guide-consumer-electronics-certification-us-eu-requirements-consider-mass-production/" TargetMode="External"/><Relationship Id="rId10" Type="http://schemas.openxmlformats.org/officeDocument/2006/relationships/hyperlink" Target="https://graphy.com/blog/youtube-ads-cost/" TargetMode="External"/><Relationship Id="rId19" Type="http://schemas.openxmlformats.org/officeDocument/2006/relationships/hyperlink" Target="https://builtin.com/salaries/dev-engineer/hardware-engineer" TargetMode="External"/><Relationship Id="rId4" Type="http://schemas.openxmlformats.org/officeDocument/2006/relationships/hyperlink" Target="https://www.invisibly.com/learn-blog/how-much-is-data-worth/" TargetMode="External"/><Relationship Id="rId9" Type="http://schemas.openxmlformats.org/officeDocument/2006/relationships/hyperlink" Target="https://www.wordstream.com/blog/ws/2015/05/21/how-much-does-adwords-cost" TargetMode="External"/><Relationship Id="rId14" Type="http://schemas.openxmlformats.org/officeDocument/2006/relationships/hyperlink" Target="https://axonim.com/blog/electronics-development-cost-estimation.html" TargetMode="External"/><Relationship Id="rId22" Type="http://schemas.openxmlformats.org/officeDocument/2006/relationships/hyperlink" Target="https://www.credit.com/blog/how-a-credit-card-is-made-749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93"/>
  <sheetViews>
    <sheetView showGridLines="0" topLeftCell="B1" zoomScale="39" zoomScaleNormal="25" workbookViewId="0">
      <selection activeCell="X21" sqref="X21"/>
    </sheetView>
  </sheetViews>
  <sheetFormatPr baseColWidth="10" defaultColWidth="14.5" defaultRowHeight="15.75" customHeight="1" outlineLevelRow="1" x14ac:dyDescent="0.3"/>
  <cols>
    <col min="1" max="1" width="0.6640625" style="4" customWidth="1"/>
    <col min="2" max="2" width="9.1640625" style="4" customWidth="1"/>
    <col min="3" max="3" width="51.5" style="4" customWidth="1"/>
    <col min="4" max="4" width="49.33203125" style="4" customWidth="1"/>
    <col min="5" max="5" width="84.1640625" style="4" customWidth="1"/>
    <col min="6" max="6" width="23.5" style="4" customWidth="1"/>
    <col min="7" max="7" width="8.5" style="4" customWidth="1"/>
    <col min="8" max="8" width="6.1640625" style="4" customWidth="1"/>
    <col min="9" max="9" width="9.33203125" style="4" customWidth="1"/>
    <col min="10" max="10" width="7.6640625" style="4" customWidth="1"/>
    <col min="11" max="11" width="32.83203125" style="4" customWidth="1"/>
    <col min="12" max="12" width="51.83203125" style="4" customWidth="1"/>
    <col min="13" max="13" width="114.5" style="4" customWidth="1"/>
    <col min="14" max="14" width="38.33203125" style="4" customWidth="1"/>
    <col min="15" max="16" width="14.5" style="4"/>
    <col min="17" max="17" width="33.1640625" style="4" customWidth="1"/>
    <col min="18" max="18" width="45.5" style="4" customWidth="1"/>
    <col min="19" max="19" width="96.33203125" style="4" customWidth="1"/>
    <col min="20" max="20" width="39.6640625" style="4" customWidth="1"/>
    <col min="21" max="25" width="14.5" style="4"/>
    <col min="26" max="26" width="19.83203125" style="4" customWidth="1"/>
    <col min="27" max="27" width="19" style="4" customWidth="1"/>
    <col min="28" max="28" width="20.33203125" style="4" customWidth="1"/>
    <col min="29" max="16384" width="14.5" style="4"/>
  </cols>
  <sheetData>
    <row r="1" spans="1:28" ht="24" x14ac:dyDescent="0.3">
      <c r="A1" s="3"/>
      <c r="B1" s="3"/>
      <c r="H1" s="5"/>
      <c r="I1" s="6"/>
    </row>
    <row r="2" spans="1:28" ht="24" x14ac:dyDescent="0.3">
      <c r="A2" s="3"/>
      <c r="B2" s="3"/>
      <c r="H2" s="5"/>
      <c r="I2" s="6"/>
      <c r="J2" s="179" t="s">
        <v>129</v>
      </c>
      <c r="K2" s="179"/>
      <c r="L2" s="179"/>
      <c r="M2" s="179"/>
      <c r="N2" s="179"/>
      <c r="O2" s="179"/>
      <c r="P2" s="179"/>
      <c r="Q2" s="179"/>
      <c r="R2" s="179"/>
      <c r="S2" s="179"/>
      <c r="T2" s="179"/>
      <c r="U2" s="179"/>
    </row>
    <row r="3" spans="1:28" ht="24" x14ac:dyDescent="0.3">
      <c r="A3" s="3"/>
      <c r="B3" s="3"/>
      <c r="H3" s="5"/>
      <c r="I3" s="6"/>
      <c r="J3" s="179"/>
      <c r="K3" s="179"/>
      <c r="L3" s="179"/>
      <c r="M3" s="179"/>
      <c r="N3" s="179"/>
      <c r="O3" s="179"/>
      <c r="P3" s="179"/>
      <c r="Q3" s="179"/>
      <c r="R3" s="179"/>
      <c r="S3" s="179"/>
      <c r="T3" s="179"/>
      <c r="U3" s="179"/>
    </row>
    <row r="4" spans="1:28" ht="24" x14ac:dyDescent="0.3">
      <c r="A4" s="3"/>
      <c r="C4" s="7" t="s">
        <v>0</v>
      </c>
      <c r="D4" s="7"/>
      <c r="E4" s="7"/>
      <c r="F4" s="7"/>
      <c r="G4" s="7"/>
      <c r="H4" s="5"/>
      <c r="I4" s="6"/>
      <c r="J4" s="179"/>
      <c r="K4" s="179"/>
      <c r="L4" s="179"/>
      <c r="M4" s="179"/>
      <c r="N4" s="179"/>
      <c r="O4" s="179"/>
      <c r="P4" s="179"/>
      <c r="Q4" s="179"/>
      <c r="R4" s="179"/>
      <c r="S4" s="179"/>
      <c r="T4" s="179"/>
      <c r="U4" s="179"/>
    </row>
    <row r="5" spans="1:28" ht="24" x14ac:dyDescent="0.3">
      <c r="A5" s="3"/>
      <c r="B5" s="7"/>
      <c r="C5" s="8" t="s">
        <v>1</v>
      </c>
      <c r="D5" s="7"/>
      <c r="E5" s="7"/>
      <c r="F5" s="7"/>
      <c r="G5" s="7"/>
      <c r="H5" s="5"/>
      <c r="I5" s="6"/>
      <c r="J5" s="179"/>
      <c r="K5" s="179"/>
      <c r="L5" s="179"/>
      <c r="M5" s="179"/>
      <c r="N5" s="179"/>
      <c r="O5" s="179"/>
      <c r="P5" s="179"/>
      <c r="Q5" s="179"/>
      <c r="R5" s="179"/>
      <c r="S5" s="179"/>
      <c r="T5" s="179"/>
      <c r="U5" s="179"/>
    </row>
    <row r="6" spans="1:28" ht="24" x14ac:dyDescent="0.3">
      <c r="A6" s="3"/>
      <c r="C6" s="8"/>
      <c r="D6" s="8"/>
      <c r="E6" s="8"/>
      <c r="F6" s="8"/>
      <c r="G6" s="8"/>
      <c r="H6" s="5"/>
      <c r="I6" s="6"/>
      <c r="J6" s="179"/>
      <c r="K6" s="179"/>
      <c r="L6" s="179"/>
      <c r="M6" s="179"/>
      <c r="N6" s="179"/>
      <c r="O6" s="179"/>
      <c r="P6" s="179"/>
      <c r="Q6" s="179"/>
      <c r="R6" s="179"/>
      <c r="S6" s="179"/>
      <c r="T6" s="179"/>
      <c r="U6" s="179"/>
    </row>
    <row r="7" spans="1:28" ht="24" x14ac:dyDescent="0.3">
      <c r="A7" s="3"/>
      <c r="B7" s="3"/>
      <c r="H7" s="5"/>
      <c r="I7" s="6"/>
      <c r="J7" s="179"/>
      <c r="K7" s="179"/>
      <c r="L7" s="179"/>
      <c r="M7" s="179"/>
      <c r="N7" s="179"/>
      <c r="O7" s="179"/>
      <c r="P7" s="179"/>
      <c r="Q7" s="179"/>
      <c r="R7" s="179"/>
      <c r="S7" s="179"/>
      <c r="T7" s="179"/>
      <c r="U7" s="179"/>
    </row>
    <row r="8" spans="1:28" ht="24" x14ac:dyDescent="0.3">
      <c r="A8" s="3"/>
      <c r="B8" s="3"/>
      <c r="C8" s="9"/>
      <c r="D8" s="9"/>
      <c r="E8" s="9"/>
      <c r="F8" s="9"/>
      <c r="H8" s="5"/>
      <c r="I8" s="6"/>
      <c r="J8" s="3"/>
      <c r="K8" s="9"/>
      <c r="L8" s="9"/>
      <c r="M8" s="9"/>
      <c r="N8" s="9"/>
    </row>
    <row r="9" spans="1:28" ht="78.75" customHeight="1" x14ac:dyDescent="0.3">
      <c r="A9" s="10"/>
      <c r="B9" s="11"/>
      <c r="C9" s="139" t="s">
        <v>2</v>
      </c>
      <c r="D9" s="140"/>
      <c r="E9" s="140"/>
      <c r="F9" s="140"/>
      <c r="G9" s="12"/>
      <c r="H9" s="5"/>
      <c r="I9" s="6"/>
      <c r="J9" s="11"/>
      <c r="K9" s="139" t="s">
        <v>3</v>
      </c>
      <c r="L9" s="140"/>
      <c r="M9" s="140"/>
      <c r="N9" s="140"/>
      <c r="O9" s="12"/>
      <c r="P9" s="11"/>
      <c r="Q9" s="139" t="s">
        <v>4</v>
      </c>
      <c r="R9" s="140"/>
      <c r="S9" s="140"/>
      <c r="T9" s="140"/>
      <c r="U9" s="12"/>
    </row>
    <row r="10" spans="1:28" ht="24" x14ac:dyDescent="0.3">
      <c r="A10" s="3"/>
      <c r="B10" s="3"/>
      <c r="H10" s="5"/>
      <c r="I10" s="6"/>
      <c r="J10" s="3"/>
      <c r="P10" s="3"/>
    </row>
    <row r="11" spans="1:28" ht="25" thickBot="1" x14ac:dyDescent="0.35">
      <c r="A11" s="3"/>
      <c r="B11" s="3"/>
      <c r="H11" s="5"/>
      <c r="I11" s="6"/>
      <c r="J11" s="3"/>
      <c r="P11" s="3"/>
    </row>
    <row r="12" spans="1:28" ht="24" x14ac:dyDescent="0.3">
      <c r="A12" s="3"/>
      <c r="B12" s="13"/>
      <c r="C12" s="14"/>
      <c r="D12" s="14"/>
      <c r="E12" s="14"/>
      <c r="F12" s="14"/>
      <c r="G12" s="15"/>
      <c r="H12" s="5"/>
      <c r="I12" s="6"/>
      <c r="J12" s="13"/>
      <c r="K12" s="14"/>
      <c r="L12" s="14"/>
      <c r="M12" s="14"/>
      <c r="N12" s="14"/>
      <c r="O12" s="15"/>
      <c r="P12" s="13"/>
      <c r="Q12" s="14"/>
      <c r="R12" s="14"/>
      <c r="S12" s="14"/>
      <c r="T12" s="14"/>
      <c r="U12" s="15"/>
      <c r="Y12" s="136"/>
      <c r="Z12" s="178" t="s">
        <v>153</v>
      </c>
      <c r="AA12" s="178"/>
      <c r="AB12" s="178"/>
    </row>
    <row r="13" spans="1:28" ht="36" customHeight="1" x14ac:dyDescent="0.3">
      <c r="A13" s="16"/>
      <c r="B13" s="17"/>
      <c r="C13" s="141" t="s">
        <v>5</v>
      </c>
      <c r="D13" s="142"/>
      <c r="E13" s="142"/>
      <c r="F13" s="142"/>
      <c r="G13" s="18"/>
      <c r="H13" s="19"/>
      <c r="I13" s="6"/>
      <c r="J13" s="17"/>
      <c r="K13" s="141" t="s">
        <v>5</v>
      </c>
      <c r="L13" s="142"/>
      <c r="M13" s="142"/>
      <c r="N13" s="142"/>
      <c r="O13" s="18"/>
      <c r="P13" s="17"/>
      <c r="Q13" s="141" t="s">
        <v>5</v>
      </c>
      <c r="R13" s="142"/>
      <c r="S13" s="142"/>
      <c r="T13" s="142"/>
      <c r="U13" s="18"/>
      <c r="Y13" s="136"/>
      <c r="Z13" s="136" t="s">
        <v>150</v>
      </c>
      <c r="AA13" s="136" t="s">
        <v>151</v>
      </c>
      <c r="AB13" s="136" t="s">
        <v>152</v>
      </c>
    </row>
    <row r="14" spans="1:28" ht="25" thickBot="1" x14ac:dyDescent="0.35">
      <c r="A14" s="3"/>
      <c r="B14" s="20"/>
      <c r="C14" s="3"/>
      <c r="D14" s="3"/>
      <c r="E14" s="3"/>
      <c r="F14" s="3"/>
      <c r="G14" s="21"/>
      <c r="H14" s="5"/>
      <c r="I14" s="6"/>
      <c r="J14" s="20"/>
      <c r="K14" s="3"/>
      <c r="L14" s="3"/>
      <c r="M14" s="3"/>
      <c r="N14" s="3"/>
      <c r="O14" s="21"/>
      <c r="P14" s="20"/>
      <c r="Q14" s="3"/>
      <c r="R14" s="3"/>
      <c r="S14" s="3"/>
      <c r="T14" s="3"/>
      <c r="U14" s="21"/>
      <c r="Y14" s="136" t="s">
        <v>70</v>
      </c>
      <c r="Z14" s="137">
        <f>F24</f>
        <v>432000</v>
      </c>
      <c r="AA14" s="137">
        <f>N24</f>
        <v>972000</v>
      </c>
      <c r="AB14" s="137">
        <f>T24</f>
        <v>2187000</v>
      </c>
    </row>
    <row r="15" spans="1:28" ht="36.75" customHeight="1" thickTop="1" x14ac:dyDescent="0.3">
      <c r="A15" s="22"/>
      <c r="B15" s="23"/>
      <c r="C15" s="143" t="s">
        <v>6</v>
      </c>
      <c r="D15" s="144"/>
      <c r="E15" s="144"/>
      <c r="F15" s="145"/>
      <c r="G15" s="24"/>
      <c r="H15" s="5"/>
      <c r="I15" s="6"/>
      <c r="J15" s="23"/>
      <c r="K15" s="143" t="s">
        <v>6</v>
      </c>
      <c r="L15" s="144"/>
      <c r="M15" s="144"/>
      <c r="N15" s="145"/>
      <c r="O15" s="24"/>
      <c r="P15" s="23"/>
      <c r="Q15" s="143" t="s">
        <v>6</v>
      </c>
      <c r="R15" s="144"/>
      <c r="S15" s="144"/>
      <c r="T15" s="145"/>
      <c r="U15" s="24"/>
      <c r="Y15" s="136" t="s">
        <v>149</v>
      </c>
      <c r="Z15" s="137">
        <f>F69</f>
        <v>597827.93500000006</v>
      </c>
      <c r="AA15" s="137">
        <f>N69</f>
        <v>984443.61166666658</v>
      </c>
      <c r="AB15" s="137">
        <f>T69</f>
        <v>1389051.6443333332</v>
      </c>
    </row>
    <row r="16" spans="1:28" ht="60" customHeight="1" x14ac:dyDescent="0.3">
      <c r="A16" s="25"/>
      <c r="B16" s="26"/>
      <c r="C16" s="146" t="s">
        <v>7</v>
      </c>
      <c r="D16" s="142"/>
      <c r="E16" s="142"/>
      <c r="F16" s="147"/>
      <c r="G16" s="21"/>
      <c r="H16" s="5"/>
      <c r="I16" s="6"/>
      <c r="J16" s="26"/>
      <c r="K16" s="146" t="s">
        <v>7</v>
      </c>
      <c r="L16" s="142"/>
      <c r="M16" s="142"/>
      <c r="N16" s="147"/>
      <c r="O16" s="21"/>
      <c r="P16" s="26"/>
      <c r="Q16" s="146" t="s">
        <v>7</v>
      </c>
      <c r="R16" s="142"/>
      <c r="S16" s="142"/>
      <c r="T16" s="147"/>
      <c r="U16" s="21"/>
      <c r="Y16" s="4" t="s">
        <v>156</v>
      </c>
      <c r="Z16" s="138">
        <f>Z14-Z15</f>
        <v>-165827.93500000006</v>
      </c>
      <c r="AA16" s="138">
        <f t="shared" ref="AA16:AB16" si="0">AA14-AA15</f>
        <v>-12443.611666666577</v>
      </c>
      <c r="AB16" s="138">
        <f t="shared" si="0"/>
        <v>797948.35566666676</v>
      </c>
    </row>
    <row r="17" spans="1:21" ht="24" customHeight="1" thickBot="1" x14ac:dyDescent="0.35">
      <c r="A17" s="27"/>
      <c r="B17" s="28"/>
      <c r="C17" s="148" t="s">
        <v>8</v>
      </c>
      <c r="D17" s="142"/>
      <c r="E17" s="142"/>
      <c r="F17" s="29" t="s">
        <v>9</v>
      </c>
      <c r="G17" s="30"/>
      <c r="H17" s="31"/>
      <c r="I17" s="6"/>
      <c r="J17" s="28"/>
      <c r="K17" s="148" t="s">
        <v>8</v>
      </c>
      <c r="L17" s="142"/>
      <c r="M17" s="142"/>
      <c r="N17" s="29" t="s">
        <v>9</v>
      </c>
      <c r="O17" s="30"/>
      <c r="P17" s="28"/>
      <c r="Q17" s="148" t="s">
        <v>8</v>
      </c>
      <c r="R17" s="142"/>
      <c r="S17" s="142"/>
      <c r="T17" s="29" t="s">
        <v>9</v>
      </c>
      <c r="U17" s="30"/>
    </row>
    <row r="18" spans="1:21" ht="89" customHeight="1" thickTop="1" thickBot="1" x14ac:dyDescent="0.35">
      <c r="A18" s="32"/>
      <c r="B18" s="33"/>
      <c r="C18" s="151" t="s">
        <v>48</v>
      </c>
      <c r="D18" s="152"/>
      <c r="E18" s="152"/>
      <c r="F18" s="34">
        <v>5.0000000000000001E-3</v>
      </c>
      <c r="G18" s="21"/>
      <c r="H18" s="5"/>
      <c r="I18" s="6"/>
      <c r="J18" s="33"/>
      <c r="K18" s="151" t="str">
        <f>C18</f>
        <v>Price for end customers</v>
      </c>
      <c r="L18" s="152"/>
      <c r="M18" s="152"/>
      <c r="N18" s="34">
        <v>5.0000000000000001E-3</v>
      </c>
      <c r="O18" s="21"/>
      <c r="P18" s="33"/>
      <c r="Q18" s="151" t="str">
        <f>C18</f>
        <v>Price for end customers</v>
      </c>
      <c r="R18" s="152"/>
      <c r="S18" s="152"/>
      <c r="T18" s="34">
        <v>5.0000000000000001E-3</v>
      </c>
      <c r="U18" s="21"/>
    </row>
    <row r="19" spans="1:21" ht="89" customHeight="1" thickTop="1" x14ac:dyDescent="0.3">
      <c r="A19" s="32"/>
      <c r="B19" s="33"/>
      <c r="C19" s="162" t="s">
        <v>60</v>
      </c>
      <c r="D19" s="163"/>
      <c r="E19" s="163"/>
      <c r="F19" s="72">
        <f>'Breakdown and References Year 1'!B4</f>
        <v>7.4999999999999997E-3</v>
      </c>
      <c r="G19" s="21"/>
      <c r="H19" s="5"/>
      <c r="I19" s="6"/>
      <c r="J19" s="33"/>
      <c r="K19" s="162" t="str">
        <f>C19</f>
        <v>Price for merchants</v>
      </c>
      <c r="L19" s="163"/>
      <c r="M19" s="163"/>
      <c r="N19" s="133">
        <f>F19</f>
        <v>7.4999999999999997E-3</v>
      </c>
      <c r="O19" s="21"/>
      <c r="P19" s="33"/>
      <c r="Q19" s="162" t="str">
        <f>C19</f>
        <v>Price for merchants</v>
      </c>
      <c r="R19" s="163"/>
      <c r="S19" s="163"/>
      <c r="T19" s="72">
        <f>F19</f>
        <v>7.4999999999999997E-3</v>
      </c>
      <c r="U19" s="21"/>
    </row>
    <row r="20" spans="1:21" ht="24" customHeight="1" thickBot="1" x14ac:dyDescent="0.35">
      <c r="A20" s="27"/>
      <c r="B20" s="28"/>
      <c r="C20" s="148" t="s">
        <v>10</v>
      </c>
      <c r="D20" s="142"/>
      <c r="E20" s="142"/>
      <c r="F20" s="29" t="s">
        <v>11</v>
      </c>
      <c r="G20" s="30"/>
      <c r="H20" s="31"/>
      <c r="I20" s="6"/>
      <c r="J20" s="28"/>
      <c r="K20" s="148" t="s">
        <v>10</v>
      </c>
      <c r="L20" s="142"/>
      <c r="M20" s="142"/>
      <c r="N20" s="29" t="s">
        <v>11</v>
      </c>
      <c r="O20" s="30"/>
      <c r="P20" s="28"/>
      <c r="Q20" s="148" t="s">
        <v>10</v>
      </c>
      <c r="R20" s="142"/>
      <c r="S20" s="142"/>
      <c r="T20" s="29" t="s">
        <v>11</v>
      </c>
      <c r="U20" s="30"/>
    </row>
    <row r="21" spans="1:21" ht="57" customHeight="1" thickTop="1" thickBot="1" x14ac:dyDescent="0.35">
      <c r="A21" s="32"/>
      <c r="B21" s="33"/>
      <c r="C21" s="157" t="s">
        <v>12</v>
      </c>
      <c r="D21" s="142"/>
      <c r="E21" s="142"/>
      <c r="F21" s="34">
        <f>'Breakdown and References Year 1'!C4</f>
        <v>3600</v>
      </c>
      <c r="G21" s="21"/>
      <c r="H21" s="35"/>
      <c r="I21" s="6"/>
      <c r="J21" s="33"/>
      <c r="K21" s="157" t="s">
        <v>12</v>
      </c>
      <c r="L21" s="142"/>
      <c r="M21" s="142"/>
      <c r="N21" s="34">
        <f>F21*'Breakdown and References Year 1'!B54</f>
        <v>4500</v>
      </c>
      <c r="O21" s="21"/>
      <c r="P21" s="33"/>
      <c r="Q21" s="157" t="s">
        <v>13</v>
      </c>
      <c r="R21" s="142"/>
      <c r="S21" s="142"/>
      <c r="T21" s="34">
        <f>N21*'Breakdown and References Year 1'!B54</f>
        <v>5625</v>
      </c>
      <c r="U21" s="21"/>
    </row>
    <row r="22" spans="1:21" ht="24" customHeight="1" thickTop="1" thickBot="1" x14ac:dyDescent="0.35">
      <c r="A22" s="27"/>
      <c r="B22" s="28"/>
      <c r="C22" s="148" t="s">
        <v>14</v>
      </c>
      <c r="D22" s="142"/>
      <c r="E22" s="142"/>
      <c r="F22" s="29"/>
      <c r="G22" s="30"/>
      <c r="H22" s="31"/>
      <c r="I22" s="6"/>
      <c r="J22" s="28"/>
      <c r="K22" s="148" t="s">
        <v>14</v>
      </c>
      <c r="L22" s="142"/>
      <c r="M22" s="142"/>
      <c r="N22" s="29"/>
      <c r="O22" s="30"/>
      <c r="P22" s="28"/>
      <c r="Q22" s="148" t="s">
        <v>14</v>
      </c>
      <c r="R22" s="142"/>
      <c r="S22" s="142"/>
      <c r="T22" s="29"/>
      <c r="U22" s="30"/>
    </row>
    <row r="23" spans="1:21" ht="57" customHeight="1" thickTop="1" thickBot="1" x14ac:dyDescent="0.35">
      <c r="A23" s="32"/>
      <c r="B23" s="33"/>
      <c r="C23" s="157" t="s">
        <v>12</v>
      </c>
      <c r="D23" s="142"/>
      <c r="E23" s="142"/>
      <c r="F23" s="34">
        <f>'Breakdown and References Year 1'!E3</f>
        <v>16000</v>
      </c>
      <c r="G23" s="21"/>
      <c r="H23" s="35"/>
      <c r="I23" s="6"/>
      <c r="J23" s="33"/>
      <c r="K23" s="157" t="s">
        <v>12</v>
      </c>
      <c r="L23" s="142"/>
      <c r="M23" s="142"/>
      <c r="N23" s="34">
        <f>F23*'Breakdown and References Year 1'!B57</f>
        <v>28800</v>
      </c>
      <c r="O23" s="21"/>
      <c r="P23" s="33"/>
      <c r="Q23" s="157" t="s">
        <v>13</v>
      </c>
      <c r="R23" s="142"/>
      <c r="S23" s="142"/>
      <c r="T23" s="34">
        <f>N23*'Breakdown and References Year 1'!B57</f>
        <v>51840</v>
      </c>
      <c r="U23" s="21"/>
    </row>
    <row r="24" spans="1:21" ht="39.75" customHeight="1" thickTop="1" thickBot="1" x14ac:dyDescent="0.35">
      <c r="A24" s="36"/>
      <c r="B24" s="37"/>
      <c r="C24" s="158" t="s">
        <v>15</v>
      </c>
      <c r="D24" s="154"/>
      <c r="E24" s="154"/>
      <c r="F24" s="38">
        <f>F19*F23*F21</f>
        <v>432000</v>
      </c>
      <c r="G24" s="21"/>
      <c r="H24" s="5"/>
      <c r="I24" s="6"/>
      <c r="J24" s="37"/>
      <c r="K24" s="158" t="s">
        <v>15</v>
      </c>
      <c r="L24" s="154"/>
      <c r="M24" s="154"/>
      <c r="N24" s="38">
        <f>N19*N23*N21</f>
        <v>972000</v>
      </c>
      <c r="O24" s="21"/>
      <c r="P24" s="37"/>
      <c r="Q24" s="158" t="s">
        <v>15</v>
      </c>
      <c r="R24" s="154"/>
      <c r="S24" s="154"/>
      <c r="T24" s="38">
        <f>T19*T23*T21</f>
        <v>2187000</v>
      </c>
      <c r="U24" s="21"/>
    </row>
    <row r="25" spans="1:21" ht="26" thickTop="1" thickBot="1" x14ac:dyDescent="0.35">
      <c r="A25" s="3"/>
      <c r="B25" s="39"/>
      <c r="C25" s="40"/>
      <c r="D25" s="40"/>
      <c r="E25" s="40"/>
      <c r="F25" s="40"/>
      <c r="G25" s="41"/>
      <c r="H25" s="5"/>
      <c r="I25" s="6"/>
      <c r="J25" s="39"/>
      <c r="K25" s="40"/>
      <c r="L25" s="40"/>
      <c r="M25" s="40"/>
      <c r="N25" s="40"/>
      <c r="O25" s="41"/>
      <c r="P25" s="39"/>
      <c r="Q25" s="40"/>
      <c r="R25" s="40"/>
      <c r="S25" s="40"/>
      <c r="T25" s="40"/>
      <c r="U25" s="41"/>
    </row>
    <row r="26" spans="1:21" ht="24" x14ac:dyDescent="0.3">
      <c r="A26" s="3"/>
      <c r="B26" s="3"/>
      <c r="H26" s="5"/>
      <c r="I26" s="6"/>
      <c r="J26" s="3"/>
      <c r="P26" s="3"/>
    </row>
    <row r="27" spans="1:21" ht="25" thickBot="1" x14ac:dyDescent="0.35">
      <c r="A27" s="3"/>
      <c r="B27" s="3"/>
      <c r="H27" s="5"/>
      <c r="I27" s="6"/>
      <c r="J27" s="3"/>
      <c r="P27" s="3"/>
    </row>
    <row r="28" spans="1:21" ht="24" x14ac:dyDescent="0.3">
      <c r="A28" s="3"/>
      <c r="B28" s="13"/>
      <c r="C28" s="14"/>
      <c r="D28" s="14"/>
      <c r="E28" s="14"/>
      <c r="F28" s="14"/>
      <c r="G28" s="15"/>
      <c r="H28" s="5"/>
      <c r="I28" s="6"/>
      <c r="J28" s="13"/>
      <c r="K28" s="14"/>
      <c r="L28" s="14"/>
      <c r="M28" s="14"/>
      <c r="N28" s="14"/>
      <c r="O28" s="15"/>
      <c r="P28" s="13"/>
      <c r="Q28" s="14"/>
      <c r="R28" s="14"/>
      <c r="S28" s="14"/>
      <c r="T28" s="14"/>
      <c r="U28" s="15"/>
    </row>
    <row r="29" spans="1:21" ht="24" x14ac:dyDescent="0.3">
      <c r="A29" s="3"/>
      <c r="B29" s="20"/>
      <c r="C29" s="159" t="s">
        <v>16</v>
      </c>
      <c r="D29" s="142"/>
      <c r="E29" s="142"/>
      <c r="F29" s="142"/>
      <c r="G29" s="21"/>
      <c r="H29" s="5"/>
      <c r="I29" s="6"/>
      <c r="J29" s="20"/>
      <c r="K29" s="159" t="s">
        <v>16</v>
      </c>
      <c r="L29" s="142"/>
      <c r="M29" s="142"/>
      <c r="N29" s="142"/>
      <c r="O29" s="21"/>
      <c r="P29" s="20"/>
      <c r="Q29" s="159" t="s">
        <v>16</v>
      </c>
      <c r="R29" s="142"/>
      <c r="S29" s="142"/>
      <c r="T29" s="142"/>
      <c r="U29" s="21"/>
    </row>
    <row r="30" spans="1:21" ht="25" thickBot="1" x14ac:dyDescent="0.35">
      <c r="A30" s="3"/>
      <c r="B30" s="20"/>
      <c r="C30" s="3"/>
      <c r="D30" s="3"/>
      <c r="E30" s="3"/>
      <c r="F30" s="3"/>
      <c r="G30" s="21"/>
      <c r="H30" s="5"/>
      <c r="I30" s="6"/>
      <c r="J30" s="20"/>
      <c r="K30" s="3"/>
      <c r="L30" s="3"/>
      <c r="M30" s="3"/>
      <c r="N30" s="3"/>
      <c r="O30" s="21"/>
      <c r="P30" s="20"/>
      <c r="Q30" s="3"/>
      <c r="R30" s="3"/>
      <c r="S30" s="3"/>
      <c r="T30" s="3"/>
      <c r="U30" s="21"/>
    </row>
    <row r="31" spans="1:21" ht="35.25" customHeight="1" thickTop="1" x14ac:dyDescent="0.3">
      <c r="A31" s="22"/>
      <c r="B31" s="23"/>
      <c r="C31" s="143" t="s">
        <v>17</v>
      </c>
      <c r="D31" s="144"/>
      <c r="E31" s="144"/>
      <c r="F31" s="149"/>
      <c r="G31" s="21"/>
      <c r="H31" s="5"/>
      <c r="I31" s="6"/>
      <c r="J31" s="23"/>
      <c r="K31" s="143" t="s">
        <v>17</v>
      </c>
      <c r="L31" s="144"/>
      <c r="M31" s="144"/>
      <c r="N31" s="149"/>
      <c r="O31" s="21"/>
      <c r="P31" s="23"/>
      <c r="Q31" s="143" t="s">
        <v>17</v>
      </c>
      <c r="R31" s="144"/>
      <c r="S31" s="144"/>
      <c r="T31" s="149"/>
      <c r="U31" s="21"/>
    </row>
    <row r="32" spans="1:21" ht="45" customHeight="1" x14ac:dyDescent="0.3">
      <c r="A32" s="25"/>
      <c r="B32" s="26"/>
      <c r="C32" s="146" t="s">
        <v>18</v>
      </c>
      <c r="D32" s="142"/>
      <c r="E32" s="142"/>
      <c r="F32" s="150"/>
      <c r="G32" s="21"/>
      <c r="H32" s="5"/>
      <c r="I32" s="6"/>
      <c r="J32" s="26"/>
      <c r="K32" s="146" t="s">
        <v>18</v>
      </c>
      <c r="L32" s="142"/>
      <c r="M32" s="142"/>
      <c r="N32" s="150"/>
      <c r="O32" s="21"/>
      <c r="P32" s="26"/>
      <c r="Q32" s="146" t="s">
        <v>18</v>
      </c>
      <c r="R32" s="142"/>
      <c r="S32" s="142"/>
      <c r="T32" s="150"/>
      <c r="U32" s="21"/>
    </row>
    <row r="33" spans="1:21" ht="24" customHeight="1" thickBot="1" x14ac:dyDescent="0.35">
      <c r="A33" s="25"/>
      <c r="B33" s="26"/>
      <c r="C33" s="148" t="s">
        <v>19</v>
      </c>
      <c r="D33" s="142"/>
      <c r="E33" s="42" t="s">
        <v>20</v>
      </c>
      <c r="F33" s="29" t="s">
        <v>21</v>
      </c>
      <c r="G33" s="21"/>
      <c r="H33" s="5"/>
      <c r="I33" s="6"/>
      <c r="J33" s="26"/>
      <c r="K33" s="148" t="s">
        <v>19</v>
      </c>
      <c r="L33" s="142"/>
      <c r="M33" s="42" t="s">
        <v>20</v>
      </c>
      <c r="N33" s="29" t="s">
        <v>21</v>
      </c>
      <c r="O33" s="21"/>
      <c r="P33" s="26"/>
      <c r="Q33" s="148" t="s">
        <v>19</v>
      </c>
      <c r="R33" s="142"/>
      <c r="S33" s="42" t="s">
        <v>20</v>
      </c>
      <c r="T33" s="29" t="s">
        <v>21</v>
      </c>
      <c r="U33" s="21"/>
    </row>
    <row r="34" spans="1:21" ht="72" customHeight="1" thickTop="1" thickBot="1" x14ac:dyDescent="0.35">
      <c r="A34" s="25"/>
      <c r="B34" s="26"/>
      <c r="C34" s="151" t="s">
        <v>22</v>
      </c>
      <c r="D34" s="152"/>
      <c r="E34" s="43">
        <f>'Breakdown and References Year 1'!C11</f>
        <v>107983.33333333333</v>
      </c>
      <c r="F34" s="44">
        <f>'Breakdown and References Year 1'!E11</f>
        <v>3</v>
      </c>
      <c r="G34" s="21"/>
      <c r="H34" s="5"/>
      <c r="I34" s="6"/>
      <c r="J34" s="26"/>
      <c r="K34" s="151" t="s">
        <v>22</v>
      </c>
      <c r="L34" s="152"/>
      <c r="M34" s="43">
        <f>E34</f>
        <v>107983.33333333333</v>
      </c>
      <c r="N34" s="44">
        <f>F34+2</f>
        <v>5</v>
      </c>
      <c r="O34" s="21"/>
      <c r="P34" s="26"/>
      <c r="Q34" s="151" t="s">
        <v>22</v>
      </c>
      <c r="R34" s="152"/>
      <c r="S34" s="43">
        <f>E34</f>
        <v>107983.33333333333</v>
      </c>
      <c r="T34" s="44">
        <f>N34+2</f>
        <v>7</v>
      </c>
      <c r="U34" s="21"/>
    </row>
    <row r="35" spans="1:21" ht="26" thickTop="1" thickBot="1" x14ac:dyDescent="0.35">
      <c r="A35" s="45"/>
      <c r="B35" s="46"/>
      <c r="C35" s="153" t="s">
        <v>23</v>
      </c>
      <c r="D35" s="154"/>
      <c r="E35" s="155">
        <f>SUMPRODUCT(E34, F34)</f>
        <v>323950</v>
      </c>
      <c r="F35" s="156"/>
      <c r="G35" s="21"/>
      <c r="H35" s="5"/>
      <c r="I35" s="6"/>
      <c r="J35" s="46"/>
      <c r="K35" s="153" t="s">
        <v>23</v>
      </c>
      <c r="L35" s="154"/>
      <c r="M35" s="155">
        <f>SUMPRODUCT(M34, N34)</f>
        <v>539916.66666666663</v>
      </c>
      <c r="N35" s="156"/>
      <c r="O35" s="21"/>
      <c r="P35" s="46"/>
      <c r="Q35" s="153" t="s">
        <v>23</v>
      </c>
      <c r="R35" s="154"/>
      <c r="S35" s="155">
        <f>SUMPRODUCT(S34, T34)</f>
        <v>755883.33333333326</v>
      </c>
      <c r="T35" s="156"/>
      <c r="U35" s="21"/>
    </row>
    <row r="36" spans="1:21" ht="37" customHeight="1" thickTop="1" thickBot="1" x14ac:dyDescent="0.35">
      <c r="A36" s="27"/>
      <c r="B36" s="28"/>
      <c r="C36" s="148" t="s">
        <v>24</v>
      </c>
      <c r="D36" s="142"/>
      <c r="E36" s="142"/>
      <c r="F36" s="29" t="s">
        <v>9</v>
      </c>
      <c r="G36" s="30"/>
      <c r="H36" s="31"/>
      <c r="I36" s="6"/>
      <c r="J36" s="28"/>
      <c r="K36" s="148" t="s">
        <v>24</v>
      </c>
      <c r="L36" s="142"/>
      <c r="M36" s="142"/>
      <c r="N36" s="29" t="s">
        <v>9</v>
      </c>
      <c r="O36" s="30"/>
      <c r="P36" s="28"/>
      <c r="Q36" s="148" t="s">
        <v>24</v>
      </c>
      <c r="R36" s="142"/>
      <c r="S36" s="142"/>
      <c r="T36" s="29" t="s">
        <v>9</v>
      </c>
      <c r="U36" s="30"/>
    </row>
    <row r="37" spans="1:21" ht="104" customHeight="1" thickTop="1" thickBot="1" x14ac:dyDescent="0.35">
      <c r="A37" s="32"/>
      <c r="B37" s="33"/>
      <c r="C37" s="164" t="s">
        <v>49</v>
      </c>
      <c r="D37" s="154"/>
      <c r="E37" s="154"/>
      <c r="F37" s="47">
        <v>0.33329999999999999</v>
      </c>
      <c r="G37" s="21"/>
      <c r="H37" s="5"/>
      <c r="I37" s="6"/>
      <c r="J37" s="33"/>
      <c r="K37" s="164" t="s">
        <v>49</v>
      </c>
      <c r="L37" s="154"/>
      <c r="M37" s="154"/>
      <c r="N37" s="47">
        <v>0.33329999999999999</v>
      </c>
      <c r="O37" s="21"/>
      <c r="P37" s="33"/>
      <c r="Q37" s="164" t="s">
        <v>49</v>
      </c>
      <c r="R37" s="154"/>
      <c r="S37" s="154"/>
      <c r="T37" s="47">
        <v>0.33329999999999999</v>
      </c>
      <c r="U37" s="21"/>
    </row>
    <row r="38" spans="1:21" ht="91" customHeight="1" outlineLevel="1" thickTop="1" x14ac:dyDescent="0.3">
      <c r="A38" s="32"/>
      <c r="B38" s="33"/>
      <c r="C38" s="165" t="s">
        <v>50</v>
      </c>
      <c r="D38" s="142"/>
      <c r="E38" s="142"/>
      <c r="F38" s="147"/>
      <c r="G38" s="21"/>
      <c r="H38" s="5"/>
      <c r="I38" s="6"/>
      <c r="J38" s="33"/>
      <c r="K38" s="165" t="s">
        <v>50</v>
      </c>
      <c r="L38" s="142"/>
      <c r="M38" s="142"/>
      <c r="N38" s="147"/>
      <c r="O38" s="21"/>
      <c r="P38" s="33"/>
      <c r="Q38" s="165" t="s">
        <v>50</v>
      </c>
      <c r="R38" s="142"/>
      <c r="S38" s="142"/>
      <c r="T38" s="147"/>
      <c r="U38" s="21"/>
    </row>
    <row r="39" spans="1:21" ht="54" customHeight="1" thickBot="1" x14ac:dyDescent="0.35">
      <c r="A39" s="27"/>
      <c r="B39" s="28"/>
      <c r="C39" s="148" t="s">
        <v>25</v>
      </c>
      <c r="D39" s="142"/>
      <c r="E39" s="142"/>
      <c r="F39" s="29" t="s">
        <v>9</v>
      </c>
      <c r="G39" s="30"/>
      <c r="H39" s="31"/>
      <c r="I39" s="6"/>
      <c r="J39" s="28"/>
      <c r="K39" s="148" t="s">
        <v>25</v>
      </c>
      <c r="L39" s="142"/>
      <c r="M39" s="142"/>
      <c r="N39" s="29" t="s">
        <v>9</v>
      </c>
      <c r="O39" s="30"/>
      <c r="P39" s="28"/>
      <c r="Q39" s="148" t="s">
        <v>25</v>
      </c>
      <c r="R39" s="142"/>
      <c r="S39" s="142"/>
      <c r="T39" s="29" t="s">
        <v>9</v>
      </c>
      <c r="U39" s="30"/>
    </row>
    <row r="40" spans="1:21" ht="87" customHeight="1" collapsed="1" thickTop="1" thickBot="1" x14ac:dyDescent="0.35">
      <c r="A40" s="32"/>
      <c r="B40" s="33"/>
      <c r="C40" s="166" t="s">
        <v>51</v>
      </c>
      <c r="D40" s="142"/>
      <c r="E40" s="142"/>
      <c r="F40" s="47">
        <v>0.3</v>
      </c>
      <c r="G40" s="21"/>
      <c r="H40" s="5"/>
      <c r="I40" s="6"/>
      <c r="J40" s="33"/>
      <c r="K40" s="166" t="s">
        <v>51</v>
      </c>
      <c r="L40" s="142"/>
      <c r="M40" s="142"/>
      <c r="N40" s="47">
        <v>0.3</v>
      </c>
      <c r="O40" s="21"/>
      <c r="P40" s="33"/>
      <c r="Q40" s="166" t="s">
        <v>51</v>
      </c>
      <c r="R40" s="142"/>
      <c r="S40" s="142"/>
      <c r="T40" s="47">
        <v>0.3</v>
      </c>
      <c r="U40" s="21"/>
    </row>
    <row r="41" spans="1:21" ht="63" hidden="1" customHeight="1" outlineLevel="1" x14ac:dyDescent="0.3">
      <c r="A41" s="32"/>
      <c r="B41" s="33"/>
      <c r="C41" s="165" t="s">
        <v>52</v>
      </c>
      <c r="D41" s="142"/>
      <c r="E41" s="142"/>
      <c r="F41" s="147"/>
      <c r="G41" s="21"/>
      <c r="H41" s="5"/>
      <c r="I41" s="6"/>
      <c r="J41" s="33"/>
      <c r="K41" s="165" t="s">
        <v>52</v>
      </c>
      <c r="L41" s="142"/>
      <c r="M41" s="142"/>
      <c r="N41" s="147"/>
      <c r="O41" s="21"/>
      <c r="P41" s="33"/>
      <c r="Q41" s="165" t="s">
        <v>52</v>
      </c>
      <c r="R41" s="142"/>
      <c r="S41" s="142"/>
      <c r="T41" s="147"/>
      <c r="U41" s="21"/>
    </row>
    <row r="42" spans="1:21" ht="29.25" customHeight="1" thickTop="1" thickBot="1" x14ac:dyDescent="0.35">
      <c r="A42" s="36"/>
      <c r="B42" s="37"/>
      <c r="C42" s="160" t="s">
        <v>26</v>
      </c>
      <c r="D42" s="154"/>
      <c r="E42" s="161">
        <f>E35 * (1 + F37 + F40)</f>
        <v>529107.53500000003</v>
      </c>
      <c r="F42" s="156"/>
      <c r="G42" s="21"/>
      <c r="H42" s="5"/>
      <c r="I42" s="6"/>
      <c r="J42" s="37"/>
      <c r="K42" s="160" t="s">
        <v>26</v>
      </c>
      <c r="L42" s="154"/>
      <c r="M42" s="161">
        <f>M35 * (1 + N37 + N40)</f>
        <v>881845.8916666666</v>
      </c>
      <c r="N42" s="156"/>
      <c r="O42" s="21"/>
      <c r="P42" s="37"/>
      <c r="Q42" s="160" t="s">
        <v>26</v>
      </c>
      <c r="R42" s="154"/>
      <c r="S42" s="161">
        <f>S35 * (1 + T37 + T40)</f>
        <v>1234584.2483333333</v>
      </c>
      <c r="T42" s="156"/>
      <c r="U42" s="21"/>
    </row>
    <row r="43" spans="1:21" ht="25" thickTop="1" x14ac:dyDescent="0.3">
      <c r="A43" s="3"/>
      <c r="B43" s="20"/>
      <c r="C43" s="48"/>
      <c r="D43" s="48"/>
      <c r="E43" s="48"/>
      <c r="F43" s="48"/>
      <c r="G43" s="21"/>
      <c r="H43" s="5"/>
      <c r="I43" s="6"/>
      <c r="J43" s="20"/>
      <c r="K43" s="48"/>
      <c r="L43" s="48"/>
      <c r="M43" s="48"/>
      <c r="N43" s="48"/>
      <c r="O43" s="21"/>
      <c r="P43" s="20"/>
      <c r="Q43" s="48"/>
      <c r="R43" s="48"/>
      <c r="S43" s="48"/>
      <c r="T43" s="48"/>
      <c r="U43" s="21"/>
    </row>
    <row r="44" spans="1:21" ht="25" thickBot="1" x14ac:dyDescent="0.35">
      <c r="A44" s="3"/>
      <c r="B44" s="20"/>
      <c r="C44" s="48"/>
      <c r="D44" s="48"/>
      <c r="E44" s="48"/>
      <c r="F44" s="48"/>
      <c r="G44" s="21"/>
      <c r="H44" s="5"/>
      <c r="I44" s="6"/>
      <c r="J44" s="20"/>
      <c r="K44" s="48"/>
      <c r="L44" s="48"/>
      <c r="M44" s="48"/>
      <c r="N44" s="48"/>
      <c r="O44" s="21"/>
      <c r="P44" s="20"/>
      <c r="Q44" s="48"/>
      <c r="R44" s="48"/>
      <c r="S44" s="48"/>
      <c r="T44" s="48"/>
      <c r="U44" s="21"/>
    </row>
    <row r="45" spans="1:21" ht="36.75" customHeight="1" thickTop="1" x14ac:dyDescent="0.3">
      <c r="A45" s="22"/>
      <c r="B45" s="23"/>
      <c r="C45" s="143" t="s">
        <v>27</v>
      </c>
      <c r="D45" s="144"/>
      <c r="E45" s="144"/>
      <c r="F45" s="149"/>
      <c r="G45" s="21"/>
      <c r="H45" s="5"/>
      <c r="I45" s="6"/>
      <c r="J45" s="23"/>
      <c r="K45" s="143" t="s">
        <v>27</v>
      </c>
      <c r="L45" s="144"/>
      <c r="M45" s="144"/>
      <c r="N45" s="149"/>
      <c r="O45" s="21"/>
      <c r="P45" s="23"/>
      <c r="Q45" s="143" t="s">
        <v>27</v>
      </c>
      <c r="R45" s="144"/>
      <c r="S45" s="144"/>
      <c r="T45" s="149"/>
      <c r="U45" s="21"/>
    </row>
    <row r="46" spans="1:21" ht="60" customHeight="1" x14ac:dyDescent="0.3">
      <c r="A46" s="25"/>
      <c r="B46" s="26"/>
      <c r="C46" s="146" t="s">
        <v>28</v>
      </c>
      <c r="D46" s="142"/>
      <c r="E46" s="142"/>
      <c r="F46" s="150"/>
      <c r="G46" s="21"/>
      <c r="H46" s="5"/>
      <c r="I46" s="6"/>
      <c r="J46" s="26"/>
      <c r="K46" s="146" t="s">
        <v>28</v>
      </c>
      <c r="L46" s="142"/>
      <c r="M46" s="142"/>
      <c r="N46" s="150"/>
      <c r="O46" s="21"/>
      <c r="P46" s="26"/>
      <c r="Q46" s="146" t="s">
        <v>28</v>
      </c>
      <c r="R46" s="142"/>
      <c r="S46" s="142"/>
      <c r="T46" s="150"/>
      <c r="U46" s="21"/>
    </row>
    <row r="47" spans="1:21" ht="58" customHeight="1" thickBot="1" x14ac:dyDescent="0.35">
      <c r="A47" s="27"/>
      <c r="B47" s="28"/>
      <c r="C47" s="148" t="s">
        <v>29</v>
      </c>
      <c r="D47" s="142"/>
      <c r="E47" s="142"/>
      <c r="F47" s="29" t="s">
        <v>30</v>
      </c>
      <c r="G47" s="21"/>
      <c r="H47" s="5"/>
      <c r="I47" s="6"/>
      <c r="J47" s="28"/>
      <c r="K47" s="148" t="s">
        <v>29</v>
      </c>
      <c r="L47" s="142"/>
      <c r="M47" s="142"/>
      <c r="N47" s="29" t="s">
        <v>30</v>
      </c>
      <c r="O47" s="21"/>
      <c r="P47" s="28"/>
      <c r="Q47" s="148" t="s">
        <v>29</v>
      </c>
      <c r="R47" s="142"/>
      <c r="S47" s="142"/>
      <c r="T47" s="29" t="s">
        <v>30</v>
      </c>
      <c r="U47" s="21"/>
    </row>
    <row r="48" spans="1:21" ht="198" customHeight="1" thickTop="1" thickBot="1" x14ac:dyDescent="0.35">
      <c r="A48" s="32"/>
      <c r="B48" s="33"/>
      <c r="C48" s="166" t="s">
        <v>53</v>
      </c>
      <c r="D48" s="142"/>
      <c r="E48" s="142"/>
      <c r="F48" s="49">
        <f>'Breakdown and References Year 1'!F22</f>
        <v>50730</v>
      </c>
      <c r="G48" s="21"/>
      <c r="H48" s="5"/>
      <c r="I48" s="6"/>
      <c r="J48" s="33"/>
      <c r="K48" s="166" t="s">
        <v>53</v>
      </c>
      <c r="L48" s="142"/>
      <c r="M48" s="142"/>
      <c r="N48" s="49">
        <f>F48*1.5</f>
        <v>76095</v>
      </c>
      <c r="O48" s="21"/>
      <c r="P48" s="33"/>
      <c r="Q48" s="166" t="s">
        <v>53</v>
      </c>
      <c r="R48" s="142"/>
      <c r="S48" s="142"/>
      <c r="T48" s="49">
        <f>N48*1.5</f>
        <v>114142.5</v>
      </c>
      <c r="U48" s="21"/>
    </row>
    <row r="49" spans="1:38" ht="25" thickTop="1" x14ac:dyDescent="0.3">
      <c r="A49" s="3"/>
      <c r="B49" s="20"/>
      <c r="C49" s="48"/>
      <c r="D49" s="48"/>
      <c r="E49" s="48"/>
      <c r="F49" s="48"/>
      <c r="G49" s="21"/>
      <c r="H49" s="5"/>
      <c r="I49" s="6"/>
      <c r="J49" s="20"/>
      <c r="K49" s="48"/>
      <c r="L49" s="48"/>
      <c r="M49" s="48"/>
      <c r="N49" s="48"/>
      <c r="O49" s="21"/>
      <c r="P49" s="20"/>
      <c r="Q49" s="48"/>
      <c r="R49" s="48"/>
      <c r="S49" s="48"/>
      <c r="T49" s="48"/>
      <c r="U49" s="21"/>
    </row>
    <row r="50" spans="1:38" ht="25" thickBot="1" x14ac:dyDescent="0.35">
      <c r="A50" s="3"/>
      <c r="B50" s="20"/>
      <c r="C50" s="48"/>
      <c r="D50" s="48"/>
      <c r="E50" s="48"/>
      <c r="F50" s="48"/>
      <c r="G50" s="21"/>
      <c r="H50" s="5"/>
      <c r="I50" s="6"/>
      <c r="J50" s="20"/>
      <c r="K50" s="48"/>
      <c r="L50" s="48"/>
      <c r="M50" s="48"/>
      <c r="N50" s="48"/>
      <c r="O50" s="21"/>
      <c r="P50" s="20"/>
      <c r="Q50" s="48"/>
      <c r="R50" s="48"/>
      <c r="S50" s="48"/>
      <c r="T50" s="48"/>
      <c r="U50" s="21"/>
    </row>
    <row r="51" spans="1:38" ht="36.75" customHeight="1" thickTop="1" x14ac:dyDescent="0.3">
      <c r="A51" s="22"/>
      <c r="B51" s="23"/>
      <c r="C51" s="177" t="s">
        <v>54</v>
      </c>
      <c r="D51" s="144"/>
      <c r="E51" s="144"/>
      <c r="F51" s="145"/>
      <c r="G51" s="21"/>
      <c r="H51" s="5"/>
      <c r="I51" s="6"/>
      <c r="J51" s="23"/>
      <c r="K51" s="177" t="s">
        <v>54</v>
      </c>
      <c r="L51" s="144"/>
      <c r="M51" s="144"/>
      <c r="N51" s="145"/>
      <c r="O51" s="21"/>
      <c r="P51" s="23"/>
      <c r="Q51" s="177" t="s">
        <v>54</v>
      </c>
      <c r="R51" s="144"/>
      <c r="S51" s="144"/>
      <c r="T51" s="145"/>
      <c r="U51" s="21"/>
    </row>
    <row r="52" spans="1:38" ht="51" customHeight="1" x14ac:dyDescent="0.3">
      <c r="A52" s="50"/>
      <c r="B52" s="51"/>
      <c r="C52" s="146" t="s">
        <v>31</v>
      </c>
      <c r="D52" s="142"/>
      <c r="E52" s="142"/>
      <c r="F52" s="147"/>
      <c r="G52" s="21"/>
      <c r="H52" s="5"/>
      <c r="I52" s="6"/>
      <c r="J52" s="51"/>
      <c r="K52" s="146" t="s">
        <v>31</v>
      </c>
      <c r="L52" s="142"/>
      <c r="M52" s="142"/>
      <c r="N52" s="147"/>
      <c r="O52" s="21"/>
      <c r="P52" s="51"/>
      <c r="Q52" s="146" t="s">
        <v>31</v>
      </c>
      <c r="R52" s="142"/>
      <c r="S52" s="142"/>
      <c r="T52" s="147"/>
      <c r="U52" s="21"/>
    </row>
    <row r="53" spans="1:38" ht="50" customHeight="1" thickBot="1" x14ac:dyDescent="0.35">
      <c r="A53" s="27"/>
      <c r="B53" s="28"/>
      <c r="C53" s="148" t="s">
        <v>32</v>
      </c>
      <c r="D53" s="142"/>
      <c r="E53" s="142"/>
      <c r="F53" s="29" t="s">
        <v>30</v>
      </c>
      <c r="G53" s="21"/>
      <c r="H53" s="5"/>
      <c r="I53" s="6"/>
      <c r="J53" s="28"/>
      <c r="K53" s="148" t="s">
        <v>32</v>
      </c>
      <c r="L53" s="142"/>
      <c r="M53" s="142"/>
      <c r="N53" s="29" t="s">
        <v>30</v>
      </c>
      <c r="O53" s="21"/>
      <c r="P53" s="28"/>
      <c r="Q53" s="148" t="s">
        <v>32</v>
      </c>
      <c r="R53" s="142"/>
      <c r="S53" s="142"/>
      <c r="T53" s="29" t="s">
        <v>30</v>
      </c>
      <c r="U53" s="21"/>
    </row>
    <row r="54" spans="1:38" ht="113" customHeight="1" thickTop="1" thickBot="1" x14ac:dyDescent="0.35">
      <c r="A54" s="32"/>
      <c r="B54" s="33"/>
      <c r="C54" s="164" t="s">
        <v>55</v>
      </c>
      <c r="D54" s="154"/>
      <c r="E54" s="154"/>
      <c r="F54" s="49">
        <f>'Breakdown and References Year 1'!F25</f>
        <v>10000</v>
      </c>
      <c r="G54" s="21"/>
      <c r="H54" s="5"/>
      <c r="I54" s="6"/>
      <c r="J54" s="33"/>
      <c r="K54" s="164" t="s">
        <v>55</v>
      </c>
      <c r="L54" s="154"/>
      <c r="M54" s="154"/>
      <c r="N54" s="49">
        <f>F54*1.5</f>
        <v>15000</v>
      </c>
      <c r="O54" s="21"/>
      <c r="P54" s="33"/>
      <c r="Q54" s="164" t="s">
        <v>55</v>
      </c>
      <c r="R54" s="154"/>
      <c r="S54" s="154"/>
      <c r="T54" s="49">
        <f>N54*1.5</f>
        <v>22500</v>
      </c>
      <c r="U54" s="21"/>
    </row>
    <row r="55" spans="1:38" ht="81" hidden="1" customHeight="1" outlineLevel="1" x14ac:dyDescent="0.3">
      <c r="A55" s="32"/>
      <c r="B55" s="33"/>
      <c r="C55" s="165" t="s">
        <v>56</v>
      </c>
      <c r="D55" s="142"/>
      <c r="E55" s="142"/>
      <c r="F55" s="147"/>
      <c r="G55" s="21"/>
      <c r="H55" s="5"/>
      <c r="I55" s="6"/>
      <c r="J55" s="33"/>
      <c r="K55" s="165" t="s">
        <v>56</v>
      </c>
      <c r="L55" s="142"/>
      <c r="M55" s="142"/>
      <c r="N55" s="147"/>
      <c r="O55" s="21"/>
      <c r="P55" s="33"/>
      <c r="Q55" s="165" t="s">
        <v>56</v>
      </c>
      <c r="R55" s="142"/>
      <c r="S55" s="142"/>
      <c r="T55" s="147"/>
      <c r="U55" s="21"/>
    </row>
    <row r="56" spans="1:38" ht="184" customHeight="1" outlineLevel="1" thickTop="1" x14ac:dyDescent="0.3">
      <c r="A56" s="32"/>
      <c r="B56" s="33"/>
      <c r="C56" s="165" t="s">
        <v>57</v>
      </c>
      <c r="D56" s="142"/>
      <c r="E56" s="142"/>
      <c r="F56" s="147"/>
      <c r="G56" s="21"/>
      <c r="H56" s="5"/>
      <c r="I56" s="6"/>
      <c r="J56" s="33"/>
      <c r="K56" s="165" t="s">
        <v>57</v>
      </c>
      <c r="L56" s="142"/>
      <c r="M56" s="142"/>
      <c r="N56" s="147"/>
      <c r="O56" s="21"/>
      <c r="P56" s="33"/>
      <c r="Q56" s="165" t="s">
        <v>57</v>
      </c>
      <c r="R56" s="142"/>
      <c r="S56" s="142"/>
      <c r="T56" s="147"/>
      <c r="U56" s="21"/>
      <c r="AL56" s="135"/>
    </row>
    <row r="57" spans="1:38" ht="54" customHeight="1" x14ac:dyDescent="0.3">
      <c r="A57" s="27"/>
      <c r="B57" s="28"/>
      <c r="C57" s="148" t="s">
        <v>33</v>
      </c>
      <c r="D57" s="142"/>
      <c r="E57" s="142"/>
      <c r="F57" s="29"/>
      <c r="G57" s="21"/>
      <c r="H57" s="5"/>
      <c r="I57" s="6"/>
      <c r="J57" s="28"/>
      <c r="K57" s="148" t="s">
        <v>33</v>
      </c>
      <c r="L57" s="142"/>
      <c r="M57" s="142"/>
      <c r="N57" s="29"/>
      <c r="O57" s="21"/>
      <c r="P57" s="28"/>
      <c r="Q57" s="148" t="s">
        <v>33</v>
      </c>
      <c r="R57" s="142"/>
      <c r="S57" s="142"/>
      <c r="T57" s="29"/>
      <c r="U57" s="21"/>
    </row>
    <row r="58" spans="1:38" ht="88" customHeight="1" x14ac:dyDescent="0.3">
      <c r="A58" s="32"/>
      <c r="B58" s="33"/>
      <c r="C58" s="166" t="s">
        <v>58</v>
      </c>
      <c r="D58" s="142"/>
      <c r="E58" s="142"/>
      <c r="F58" s="147"/>
      <c r="G58" s="21"/>
      <c r="H58" s="5"/>
      <c r="I58" s="6"/>
      <c r="J58" s="33"/>
      <c r="K58" s="166" t="s">
        <v>58</v>
      </c>
      <c r="L58" s="142"/>
      <c r="M58" s="142"/>
      <c r="N58" s="147"/>
      <c r="O58" s="21"/>
      <c r="P58" s="33"/>
      <c r="Q58" s="166" t="s">
        <v>58</v>
      </c>
      <c r="R58" s="142"/>
      <c r="S58" s="142"/>
      <c r="T58" s="147"/>
      <c r="U58" s="21"/>
    </row>
    <row r="59" spans="1:38" ht="91" customHeight="1" outlineLevel="1" x14ac:dyDescent="0.3">
      <c r="A59" s="32"/>
      <c r="B59" s="33"/>
      <c r="C59" s="165" t="s">
        <v>34</v>
      </c>
      <c r="D59" s="142"/>
      <c r="E59" s="142"/>
      <c r="F59" s="147"/>
      <c r="G59" s="21"/>
      <c r="H59" s="5"/>
      <c r="I59" s="6"/>
      <c r="J59" s="33"/>
      <c r="K59" s="165" t="s">
        <v>34</v>
      </c>
      <c r="L59" s="142"/>
      <c r="M59" s="142"/>
      <c r="N59" s="147"/>
      <c r="O59" s="21"/>
      <c r="P59" s="33"/>
      <c r="Q59" s="165" t="s">
        <v>34</v>
      </c>
      <c r="R59" s="142"/>
      <c r="S59" s="142"/>
      <c r="T59" s="147"/>
      <c r="U59" s="21"/>
    </row>
    <row r="60" spans="1:38" ht="24" customHeight="1" x14ac:dyDescent="0.3">
      <c r="A60" s="27"/>
      <c r="B60" s="28"/>
      <c r="C60" s="52" t="s">
        <v>35</v>
      </c>
      <c r="D60" s="42" t="s">
        <v>36</v>
      </c>
      <c r="E60" s="42" t="s">
        <v>37</v>
      </c>
      <c r="F60" s="29" t="s">
        <v>38</v>
      </c>
      <c r="G60" s="21"/>
      <c r="H60" s="5"/>
      <c r="I60" s="6"/>
      <c r="J60" s="28"/>
      <c r="K60" s="52" t="s">
        <v>35</v>
      </c>
      <c r="L60" s="42" t="s">
        <v>36</v>
      </c>
      <c r="M60" s="42" t="s">
        <v>37</v>
      </c>
      <c r="N60" s="29" t="s">
        <v>38</v>
      </c>
      <c r="O60" s="21"/>
      <c r="P60" s="28"/>
      <c r="Q60" s="52" t="s">
        <v>35</v>
      </c>
      <c r="R60" s="42" t="s">
        <v>36</v>
      </c>
      <c r="S60" s="42" t="s">
        <v>37</v>
      </c>
      <c r="T60" s="29" t="s">
        <v>38</v>
      </c>
      <c r="U60" s="21"/>
    </row>
    <row r="61" spans="1:38" ht="24" customHeight="1" x14ac:dyDescent="0.3">
      <c r="A61" s="27"/>
      <c r="B61" s="28"/>
      <c r="C61" s="53" t="s">
        <v>62</v>
      </c>
      <c r="D61" s="54">
        <f>'Breakdown and References Year 1'!C27</f>
        <v>1.5</v>
      </c>
      <c r="E61" s="55">
        <f>'Breakdown and References Year 1'!E27</f>
        <v>320</v>
      </c>
      <c r="F61" s="56">
        <f t="shared" ref="F61:F67" si="1">D61*E61</f>
        <v>480</v>
      </c>
      <c r="G61" s="21"/>
      <c r="H61" s="5"/>
      <c r="I61" s="6"/>
      <c r="J61" s="28"/>
      <c r="K61" s="53" t="str">
        <f>C61</f>
        <v>Card production cost</v>
      </c>
      <c r="L61" s="54">
        <f>D61</f>
        <v>1.5</v>
      </c>
      <c r="M61" s="55">
        <f>E61*'Breakdown and References Year 1'!$B$57</f>
        <v>576</v>
      </c>
      <c r="N61" s="56">
        <f t="shared" ref="N61:N67" si="2">L61*M61</f>
        <v>864</v>
      </c>
      <c r="O61" s="21"/>
      <c r="P61" s="28"/>
      <c r="Q61" s="53" t="str">
        <f>C61</f>
        <v>Card production cost</v>
      </c>
      <c r="R61" s="54">
        <f>D61</f>
        <v>1.5</v>
      </c>
      <c r="S61" s="55">
        <f>M61*'Breakdown and References Year 1'!$B$57</f>
        <v>1036.8</v>
      </c>
      <c r="T61" s="56">
        <f t="shared" ref="T61:T67" si="3">R61*S61</f>
        <v>1555.1999999999998</v>
      </c>
      <c r="U61" s="21"/>
    </row>
    <row r="62" spans="1:38" ht="24" customHeight="1" x14ac:dyDescent="0.3">
      <c r="A62" s="27"/>
      <c r="B62" s="28"/>
      <c r="C62" s="53" t="s">
        <v>63</v>
      </c>
      <c r="D62" s="54">
        <f>'Breakdown and References Year 1'!C28</f>
        <v>8.5</v>
      </c>
      <c r="E62" s="55">
        <f>'Breakdown and References Year 1'!E28</f>
        <v>320</v>
      </c>
      <c r="F62" s="57">
        <f t="shared" si="1"/>
        <v>2720</v>
      </c>
      <c r="G62" s="21"/>
      <c r="H62" s="5"/>
      <c r="I62" s="6"/>
      <c r="J62" s="28"/>
      <c r="K62" s="53" t="str">
        <f t="shared" ref="K62:K65" si="4">C62</f>
        <v>Shipping</v>
      </c>
      <c r="L62" s="54">
        <f t="shared" ref="L62:L65" si="5">D62</f>
        <v>8.5</v>
      </c>
      <c r="M62" s="55">
        <f>E62*'Breakdown and References Year 1'!$B$57</f>
        <v>576</v>
      </c>
      <c r="N62" s="57">
        <f t="shared" si="2"/>
        <v>4896</v>
      </c>
      <c r="O62" s="21"/>
      <c r="P62" s="28"/>
      <c r="Q62" s="53" t="str">
        <f t="shared" ref="Q62:Q65" si="6">C62</f>
        <v>Shipping</v>
      </c>
      <c r="R62" s="54">
        <f t="shared" ref="R62:R65" si="7">D62</f>
        <v>8.5</v>
      </c>
      <c r="S62" s="55">
        <f>M62*'Breakdown and References Year 1'!$B$57</f>
        <v>1036.8</v>
      </c>
      <c r="T62" s="57">
        <f t="shared" si="3"/>
        <v>8812.7999999999993</v>
      </c>
      <c r="U62" s="21"/>
    </row>
    <row r="63" spans="1:38" ht="24" customHeight="1" x14ac:dyDescent="0.3">
      <c r="A63" s="27"/>
      <c r="B63" s="28"/>
      <c r="C63" s="58" t="s">
        <v>64</v>
      </c>
      <c r="D63" s="59">
        <f>'Breakdown and References Year 1'!C29</f>
        <v>3.2</v>
      </c>
      <c r="E63" s="60">
        <f>'Breakdown and References Year 1'!E29</f>
        <v>320</v>
      </c>
      <c r="F63" s="57">
        <f t="shared" si="1"/>
        <v>1024</v>
      </c>
      <c r="G63" s="21"/>
      <c r="H63" s="5"/>
      <c r="I63" s="6"/>
      <c r="J63" s="28"/>
      <c r="K63" s="53" t="str">
        <f t="shared" si="4"/>
        <v>Packaging</v>
      </c>
      <c r="L63" s="54">
        <f t="shared" si="5"/>
        <v>3.2</v>
      </c>
      <c r="M63" s="55">
        <f>E63*'Breakdown and References Year 1'!$B$57</f>
        <v>576</v>
      </c>
      <c r="N63" s="57">
        <f t="shared" si="2"/>
        <v>1843.2</v>
      </c>
      <c r="O63" s="21"/>
      <c r="P63" s="28"/>
      <c r="Q63" s="53" t="str">
        <f t="shared" si="6"/>
        <v>Packaging</v>
      </c>
      <c r="R63" s="54">
        <f t="shared" si="7"/>
        <v>3.2</v>
      </c>
      <c r="S63" s="55">
        <f>M63*'Breakdown and References Year 1'!$B$57</f>
        <v>1036.8</v>
      </c>
      <c r="T63" s="57">
        <f t="shared" si="3"/>
        <v>3317.76</v>
      </c>
      <c r="U63" s="21"/>
    </row>
    <row r="64" spans="1:38" ht="24" customHeight="1" x14ac:dyDescent="0.3">
      <c r="A64" s="27"/>
      <c r="B64" s="28"/>
      <c r="C64" s="58" t="s">
        <v>128</v>
      </c>
      <c r="D64" s="59">
        <f>'Breakdown and References Year 1'!C32</f>
        <v>2.5999999999999999E-2</v>
      </c>
      <c r="E64" s="60">
        <f>'Breakdown and References Year 1'!E32</f>
        <v>6400</v>
      </c>
      <c r="F64" s="57">
        <f t="shared" si="1"/>
        <v>166.4</v>
      </c>
      <c r="G64" s="21"/>
      <c r="H64" s="5"/>
      <c r="I64" s="6"/>
      <c r="J64" s="28"/>
      <c r="K64" s="53" t="str">
        <f t="shared" si="4"/>
        <v>Firebase</v>
      </c>
      <c r="L64" s="54">
        <f t="shared" si="5"/>
        <v>2.5999999999999999E-2</v>
      </c>
      <c r="M64" s="55">
        <f>E64*'Breakdown and References Year 1'!$B$57</f>
        <v>11520</v>
      </c>
      <c r="N64" s="57">
        <f t="shared" si="2"/>
        <v>299.52</v>
      </c>
      <c r="O64" s="21"/>
      <c r="P64" s="28"/>
      <c r="Q64" s="53" t="str">
        <f t="shared" si="6"/>
        <v>Firebase</v>
      </c>
      <c r="R64" s="54">
        <f t="shared" si="7"/>
        <v>2.5999999999999999E-2</v>
      </c>
      <c r="S64" s="55">
        <f>M64*'Breakdown and References Year 1'!$B$57</f>
        <v>20736</v>
      </c>
      <c r="T64" s="57">
        <f t="shared" si="3"/>
        <v>539.13599999999997</v>
      </c>
      <c r="U64" s="21"/>
    </row>
    <row r="65" spans="1:21" ht="24" customHeight="1" x14ac:dyDescent="0.3">
      <c r="A65" s="27"/>
      <c r="B65" s="28"/>
      <c r="C65" s="58" t="s">
        <v>86</v>
      </c>
      <c r="D65" s="59">
        <f>'Breakdown and References Year 1'!F34</f>
        <v>3600</v>
      </c>
      <c r="E65" s="60">
        <v>1</v>
      </c>
      <c r="F65" s="57">
        <f t="shared" si="1"/>
        <v>3600</v>
      </c>
      <c r="G65" s="21"/>
      <c r="H65" s="5"/>
      <c r="I65" s="6"/>
      <c r="J65" s="28"/>
      <c r="K65" s="53" t="str">
        <f t="shared" si="4"/>
        <v>Additional Software Security</v>
      </c>
      <c r="L65" s="54">
        <f t="shared" si="5"/>
        <v>3600</v>
      </c>
      <c r="M65" s="55">
        <f>E65</f>
        <v>1</v>
      </c>
      <c r="N65" s="57">
        <f t="shared" si="2"/>
        <v>3600</v>
      </c>
      <c r="O65" s="21"/>
      <c r="P65" s="28"/>
      <c r="Q65" s="53" t="str">
        <f t="shared" si="6"/>
        <v>Additional Software Security</v>
      </c>
      <c r="R65" s="54">
        <f t="shared" si="7"/>
        <v>3600</v>
      </c>
      <c r="S65" s="60">
        <f>M65</f>
        <v>1</v>
      </c>
      <c r="T65" s="57">
        <f t="shared" si="3"/>
        <v>3600</v>
      </c>
      <c r="U65" s="21"/>
    </row>
    <row r="66" spans="1:21" ht="24" customHeight="1" x14ac:dyDescent="0.3">
      <c r="A66" s="27"/>
      <c r="B66" s="28"/>
      <c r="C66" s="58"/>
      <c r="D66" s="59"/>
      <c r="E66" s="60"/>
      <c r="F66" s="57">
        <f t="shared" si="1"/>
        <v>0</v>
      </c>
      <c r="G66" s="21"/>
      <c r="H66" s="5"/>
      <c r="I66" s="6"/>
      <c r="J66" s="28"/>
      <c r="K66" s="58"/>
      <c r="L66" s="59"/>
      <c r="M66" s="60"/>
      <c r="N66" s="57">
        <f t="shared" si="2"/>
        <v>0</v>
      </c>
      <c r="O66" s="21"/>
      <c r="P66" s="28"/>
      <c r="Q66" s="58"/>
      <c r="R66" s="59"/>
      <c r="S66" s="60"/>
      <c r="T66" s="57">
        <f t="shared" si="3"/>
        <v>0</v>
      </c>
      <c r="U66" s="21"/>
    </row>
    <row r="67" spans="1:21" ht="24" customHeight="1" thickBot="1" x14ac:dyDescent="0.35">
      <c r="A67" s="27"/>
      <c r="B67" s="28"/>
      <c r="C67" s="61"/>
      <c r="D67" s="62"/>
      <c r="E67" s="63"/>
      <c r="F67" s="64">
        <f t="shared" si="1"/>
        <v>0</v>
      </c>
      <c r="G67" s="21"/>
      <c r="H67" s="5"/>
      <c r="I67" s="6"/>
      <c r="J67" s="28"/>
      <c r="K67" s="61"/>
      <c r="L67" s="62"/>
      <c r="M67" s="63"/>
      <c r="N67" s="64">
        <f t="shared" si="2"/>
        <v>0</v>
      </c>
      <c r="O67" s="21"/>
      <c r="P67" s="28"/>
      <c r="Q67" s="61"/>
      <c r="R67" s="62"/>
      <c r="S67" s="63"/>
      <c r="T67" s="64">
        <f t="shared" si="3"/>
        <v>0</v>
      </c>
      <c r="U67" s="21"/>
    </row>
    <row r="68" spans="1:21" ht="24" customHeight="1" thickTop="1" thickBot="1" x14ac:dyDescent="0.35">
      <c r="A68" s="27"/>
      <c r="B68" s="28"/>
      <c r="C68" s="153" t="s">
        <v>39</v>
      </c>
      <c r="D68" s="169"/>
      <c r="E68" s="65"/>
      <c r="F68" s="66">
        <f>SUM(F61:F67)</f>
        <v>7990.4</v>
      </c>
      <c r="G68" s="21"/>
      <c r="H68" s="5"/>
      <c r="I68" s="6"/>
      <c r="J68" s="28"/>
      <c r="K68" s="153" t="s">
        <v>39</v>
      </c>
      <c r="L68" s="169"/>
      <c r="M68" s="65"/>
      <c r="N68" s="66">
        <f>SUM(N61:N67)</f>
        <v>11502.72</v>
      </c>
      <c r="O68" s="21"/>
      <c r="P68" s="28"/>
      <c r="Q68" s="153" t="s">
        <v>39</v>
      </c>
      <c r="R68" s="169"/>
      <c r="S68" s="65"/>
      <c r="T68" s="66">
        <f>SUM(T61:T67)</f>
        <v>17824.896000000001</v>
      </c>
      <c r="U68" s="21"/>
    </row>
    <row r="69" spans="1:21" ht="63.75" customHeight="1" thickTop="1" thickBot="1" x14ac:dyDescent="0.35">
      <c r="A69" s="36"/>
      <c r="B69" s="37"/>
      <c r="C69" s="170" t="s">
        <v>40</v>
      </c>
      <c r="D69" s="154"/>
      <c r="E69" s="154"/>
      <c r="F69" s="67">
        <f>F68+F54+F48+E42</f>
        <v>597827.93500000006</v>
      </c>
      <c r="G69" s="21"/>
      <c r="H69" s="5"/>
      <c r="I69" s="6"/>
      <c r="J69" s="37"/>
      <c r="K69" s="170" t="s">
        <v>40</v>
      </c>
      <c r="L69" s="154"/>
      <c r="M69" s="154"/>
      <c r="N69" s="67">
        <f>N68+N54+N48+M42</f>
        <v>984443.61166666658</v>
      </c>
      <c r="O69" s="21"/>
      <c r="P69" s="37"/>
      <c r="Q69" s="170" t="s">
        <v>40</v>
      </c>
      <c r="R69" s="154"/>
      <c r="S69" s="154"/>
      <c r="T69" s="67">
        <f>T68+T54+T48+S42</f>
        <v>1389051.6443333332</v>
      </c>
      <c r="U69" s="21"/>
    </row>
    <row r="70" spans="1:21" ht="26" thickTop="1" thickBot="1" x14ac:dyDescent="0.35">
      <c r="A70" s="3"/>
      <c r="B70" s="39"/>
      <c r="C70" s="40"/>
      <c r="D70" s="40"/>
      <c r="E70" s="40"/>
      <c r="F70" s="40"/>
      <c r="G70" s="41"/>
      <c r="H70" s="5"/>
      <c r="I70" s="6"/>
      <c r="J70" s="39"/>
      <c r="K70" s="40"/>
      <c r="L70" s="40"/>
      <c r="M70" s="40"/>
      <c r="N70" s="40"/>
      <c r="O70" s="41"/>
      <c r="P70" s="39"/>
      <c r="Q70" s="40"/>
      <c r="R70" s="40"/>
      <c r="S70" s="40"/>
      <c r="T70" s="40"/>
      <c r="U70" s="41"/>
    </row>
    <row r="71" spans="1:21" ht="24" x14ac:dyDescent="0.3">
      <c r="A71" s="3"/>
      <c r="B71" s="3"/>
      <c r="H71" s="5"/>
      <c r="I71" s="6"/>
      <c r="J71" s="3"/>
      <c r="P71" s="3"/>
    </row>
    <row r="72" spans="1:21" ht="25" thickBot="1" x14ac:dyDescent="0.35">
      <c r="A72" s="3"/>
      <c r="B72" s="3"/>
      <c r="H72" s="5"/>
      <c r="I72" s="6"/>
      <c r="J72" s="3"/>
      <c r="P72" s="3"/>
    </row>
    <row r="73" spans="1:21" ht="24" x14ac:dyDescent="0.3">
      <c r="A73" s="3"/>
      <c r="B73" s="13"/>
      <c r="C73" s="14"/>
      <c r="D73" s="14"/>
      <c r="E73" s="14"/>
      <c r="F73" s="14"/>
      <c r="G73" s="15"/>
      <c r="H73" s="5"/>
      <c r="I73" s="6"/>
      <c r="J73" s="13"/>
      <c r="K73" s="14"/>
      <c r="L73" s="14"/>
      <c r="M73" s="14"/>
      <c r="N73" s="14"/>
      <c r="O73" s="15"/>
      <c r="P73" s="13"/>
      <c r="Q73" s="14"/>
      <c r="R73" s="14"/>
      <c r="S73" s="14"/>
      <c r="T73" s="14"/>
      <c r="U73" s="15"/>
    </row>
    <row r="74" spans="1:21" ht="24" x14ac:dyDescent="0.3">
      <c r="A74" s="3"/>
      <c r="B74" s="20"/>
      <c r="C74" s="171" t="s">
        <v>41</v>
      </c>
      <c r="D74" s="142"/>
      <c r="E74" s="142"/>
      <c r="F74" s="142"/>
      <c r="G74" s="21"/>
      <c r="H74" s="5"/>
      <c r="I74" s="6"/>
      <c r="J74" s="20"/>
      <c r="K74" s="171" t="s">
        <v>41</v>
      </c>
      <c r="L74" s="142"/>
      <c r="M74" s="142"/>
      <c r="N74" s="142"/>
      <c r="O74" s="21"/>
      <c r="P74" s="20"/>
      <c r="Q74" s="171" t="s">
        <v>41</v>
      </c>
      <c r="R74" s="142"/>
      <c r="S74" s="142"/>
      <c r="T74" s="142"/>
      <c r="U74" s="21"/>
    </row>
    <row r="75" spans="1:21" ht="24" x14ac:dyDescent="0.3">
      <c r="A75" s="3"/>
      <c r="B75" s="20"/>
      <c r="C75" s="172" t="s">
        <v>59</v>
      </c>
      <c r="D75" s="142"/>
      <c r="E75" s="142"/>
      <c r="F75" s="142"/>
      <c r="G75" s="21"/>
      <c r="H75" s="5"/>
      <c r="I75" s="6"/>
      <c r="J75" s="20"/>
      <c r="K75" s="172" t="s">
        <v>59</v>
      </c>
      <c r="L75" s="142"/>
      <c r="M75" s="142"/>
      <c r="N75" s="142"/>
      <c r="O75" s="21"/>
      <c r="P75" s="20"/>
      <c r="Q75" s="172" t="s">
        <v>59</v>
      </c>
      <c r="R75" s="142"/>
      <c r="S75" s="142"/>
      <c r="T75" s="142"/>
      <c r="U75" s="21"/>
    </row>
    <row r="76" spans="1:21" ht="60" customHeight="1" x14ac:dyDescent="0.3">
      <c r="A76" s="3"/>
      <c r="B76" s="20"/>
      <c r="C76" s="142"/>
      <c r="D76" s="142"/>
      <c r="E76" s="142"/>
      <c r="F76" s="142"/>
      <c r="G76" s="21"/>
      <c r="H76" s="5"/>
      <c r="I76" s="6"/>
      <c r="J76" s="20"/>
      <c r="K76" s="142"/>
      <c r="L76" s="142"/>
      <c r="M76" s="142"/>
      <c r="N76" s="142"/>
      <c r="O76" s="21"/>
      <c r="P76" s="20"/>
      <c r="Q76" s="142"/>
      <c r="R76" s="142"/>
      <c r="S76" s="142"/>
      <c r="T76" s="142"/>
      <c r="U76" s="21"/>
    </row>
    <row r="77" spans="1:21" ht="56" customHeight="1" x14ac:dyDescent="0.3">
      <c r="A77" s="3"/>
      <c r="B77" s="20"/>
      <c r="C77" s="142"/>
      <c r="D77" s="142"/>
      <c r="E77" s="142"/>
      <c r="F77" s="142"/>
      <c r="G77" s="21"/>
      <c r="H77" s="5"/>
      <c r="I77" s="6"/>
      <c r="J77" s="20"/>
      <c r="K77" s="142"/>
      <c r="L77" s="142"/>
      <c r="M77" s="142"/>
      <c r="N77" s="142"/>
      <c r="O77" s="21"/>
      <c r="P77" s="20"/>
      <c r="Q77" s="142"/>
      <c r="R77" s="142"/>
      <c r="S77" s="142"/>
      <c r="T77" s="142"/>
      <c r="U77" s="21"/>
    </row>
    <row r="78" spans="1:21" ht="25" thickBot="1" x14ac:dyDescent="0.35">
      <c r="A78" s="3"/>
      <c r="B78" s="20"/>
      <c r="C78" s="142"/>
      <c r="D78" s="142"/>
      <c r="E78" s="142"/>
      <c r="F78" s="142"/>
      <c r="G78" s="21"/>
      <c r="H78" s="5"/>
      <c r="I78" s="6"/>
      <c r="J78" s="20"/>
      <c r="K78" s="142"/>
      <c r="L78" s="142"/>
      <c r="M78" s="142"/>
      <c r="N78" s="142"/>
      <c r="O78" s="21"/>
      <c r="P78" s="20"/>
      <c r="Q78" s="142"/>
      <c r="R78" s="142"/>
      <c r="S78" s="142"/>
      <c r="T78" s="142"/>
      <c r="U78" s="21"/>
    </row>
    <row r="79" spans="1:21" ht="44" customHeight="1" thickBot="1" x14ac:dyDescent="0.35">
      <c r="A79" s="16"/>
      <c r="B79" s="17"/>
      <c r="C79" s="68" t="s">
        <v>42</v>
      </c>
      <c r="D79" s="173" t="s">
        <v>43</v>
      </c>
      <c r="E79" s="174"/>
      <c r="F79" s="69" t="s">
        <v>44</v>
      </c>
      <c r="G79" s="18"/>
      <c r="H79" s="19"/>
      <c r="I79" s="6"/>
      <c r="J79" s="17"/>
      <c r="K79" s="68" t="s">
        <v>42</v>
      </c>
      <c r="L79" s="173" t="s">
        <v>43</v>
      </c>
      <c r="M79" s="174"/>
      <c r="N79" s="69" t="s">
        <v>44</v>
      </c>
      <c r="O79" s="18"/>
      <c r="P79" s="17"/>
      <c r="Q79" s="68" t="s">
        <v>42</v>
      </c>
      <c r="R79" s="173" t="s">
        <v>43</v>
      </c>
      <c r="S79" s="174"/>
      <c r="T79" s="69" t="s">
        <v>44</v>
      </c>
      <c r="U79" s="18"/>
    </row>
    <row r="80" spans="1:21" ht="59" customHeight="1" thickTop="1" thickBot="1" x14ac:dyDescent="0.35">
      <c r="A80" s="16"/>
      <c r="B80" s="17"/>
      <c r="C80" s="70">
        <f>F69/(F21*F19)</f>
        <v>22141.775370370371</v>
      </c>
      <c r="D80" s="175">
        <f>C80/12</f>
        <v>1845.1479475308643</v>
      </c>
      <c r="E80" s="176"/>
      <c r="F80" s="71">
        <f>D80/30.5</f>
        <v>60.496654017405383</v>
      </c>
      <c r="G80" s="18"/>
      <c r="H80" s="19"/>
      <c r="I80" s="6"/>
      <c r="J80" s="17"/>
      <c r="K80" s="70">
        <f>N69/(N21*N19)</f>
        <v>29168.699604938269</v>
      </c>
      <c r="L80" s="175">
        <f>K80/12</f>
        <v>2430.7249670781889</v>
      </c>
      <c r="M80" s="176"/>
      <c r="N80" s="71">
        <f>L80/30.5</f>
        <v>79.695900559940625</v>
      </c>
      <c r="O80" s="18"/>
      <c r="P80" s="17"/>
      <c r="Q80" s="70">
        <f>T69/(T21*T19)</f>
        <v>32925.668606419749</v>
      </c>
      <c r="R80" s="175">
        <f>Q80/12</f>
        <v>2743.8057172016456</v>
      </c>
      <c r="S80" s="176"/>
      <c r="T80" s="71">
        <f>R80/30.5</f>
        <v>89.960843186939201</v>
      </c>
      <c r="U80" s="18"/>
    </row>
    <row r="81" spans="1:21" ht="21" customHeight="1" x14ac:dyDescent="0.3">
      <c r="A81" s="3"/>
      <c r="B81" s="20"/>
      <c r="C81" s="3"/>
      <c r="D81" s="3"/>
      <c r="E81" s="3"/>
      <c r="F81" s="3"/>
      <c r="G81" s="21"/>
      <c r="H81" s="5"/>
      <c r="I81" s="6"/>
      <c r="J81" s="20"/>
      <c r="K81" s="3"/>
      <c r="L81" s="3"/>
      <c r="M81" s="3"/>
      <c r="N81" s="3"/>
      <c r="O81" s="21"/>
      <c r="P81" s="20"/>
      <c r="Q81" s="3"/>
      <c r="R81" s="3"/>
      <c r="S81" s="3"/>
      <c r="T81" s="3"/>
      <c r="U81" s="21"/>
    </row>
    <row r="82" spans="1:21" ht="31.5" customHeight="1" x14ac:dyDescent="0.3">
      <c r="A82" s="3"/>
      <c r="B82" s="20"/>
      <c r="C82" s="167" t="s">
        <v>45</v>
      </c>
      <c r="D82" s="142"/>
      <c r="E82" s="142"/>
      <c r="F82" s="142"/>
      <c r="G82" s="21"/>
      <c r="H82" s="5"/>
      <c r="I82" s="6"/>
      <c r="J82" s="20"/>
      <c r="K82" s="167" t="s">
        <v>45</v>
      </c>
      <c r="L82" s="142"/>
      <c r="M82" s="142"/>
      <c r="N82" s="142"/>
      <c r="O82" s="21"/>
      <c r="P82" s="20"/>
      <c r="Q82" s="167" t="s">
        <v>45</v>
      </c>
      <c r="R82" s="142"/>
      <c r="S82" s="142"/>
      <c r="T82" s="142"/>
      <c r="U82" s="21"/>
    </row>
    <row r="83" spans="1:21" ht="24" x14ac:dyDescent="0.3">
      <c r="A83" s="3"/>
      <c r="B83" s="20"/>
      <c r="C83" s="168" t="s">
        <v>46</v>
      </c>
      <c r="D83" s="142"/>
      <c r="E83" s="142"/>
      <c r="F83" s="142"/>
      <c r="G83" s="21"/>
      <c r="H83" s="5"/>
      <c r="I83" s="6"/>
      <c r="J83" s="20"/>
      <c r="K83" s="168" t="s">
        <v>46</v>
      </c>
      <c r="L83" s="142"/>
      <c r="M83" s="142"/>
      <c r="N83" s="142"/>
      <c r="O83" s="21"/>
      <c r="P83" s="20"/>
      <c r="Q83" s="168" t="s">
        <v>46</v>
      </c>
      <c r="R83" s="142"/>
      <c r="S83" s="142"/>
      <c r="T83" s="142"/>
      <c r="U83" s="21"/>
    </row>
    <row r="84" spans="1:21" ht="24.75" customHeight="1" thickBot="1" x14ac:dyDescent="0.35">
      <c r="A84" s="3"/>
      <c r="B84" s="39"/>
      <c r="C84" s="40"/>
      <c r="D84" s="40"/>
      <c r="E84" s="40"/>
      <c r="F84" s="40"/>
      <c r="G84" s="41"/>
      <c r="H84" s="5"/>
      <c r="I84" s="6"/>
      <c r="J84" s="39"/>
      <c r="K84" s="40"/>
      <c r="L84" s="40"/>
      <c r="M84" s="40"/>
      <c r="N84" s="40"/>
      <c r="O84" s="41"/>
      <c r="P84" s="39"/>
      <c r="Q84" s="40"/>
      <c r="R84" s="40"/>
      <c r="S84" s="40"/>
      <c r="T84" s="40"/>
      <c r="U84" s="41"/>
    </row>
    <row r="85" spans="1:21" ht="24" x14ac:dyDescent="0.3">
      <c r="A85" s="3"/>
      <c r="B85" s="3"/>
      <c r="H85" s="5"/>
      <c r="I85" s="6"/>
    </row>
    <row r="86" spans="1:21" ht="24" x14ac:dyDescent="0.3">
      <c r="A86" s="3"/>
      <c r="B86" s="3"/>
      <c r="H86" s="5"/>
      <c r="I86" s="6"/>
    </row>
    <row r="87" spans="1:21" ht="24" x14ac:dyDescent="0.3">
      <c r="A87" s="3"/>
      <c r="B87" s="3"/>
      <c r="H87" s="5"/>
      <c r="I87" s="6"/>
    </row>
    <row r="88" spans="1:21" ht="24" x14ac:dyDescent="0.3">
      <c r="A88" s="3"/>
      <c r="B88" s="3"/>
      <c r="H88" s="5"/>
      <c r="I88" s="6"/>
    </row>
    <row r="89" spans="1:21" ht="24" x14ac:dyDescent="0.3">
      <c r="A89" s="3"/>
      <c r="B89" s="3"/>
      <c r="H89" s="5"/>
      <c r="I89" s="6"/>
    </row>
    <row r="90" spans="1:21" ht="24" x14ac:dyDescent="0.3">
      <c r="A90" s="3"/>
      <c r="B90" s="3"/>
      <c r="H90" s="5"/>
      <c r="I90" s="6"/>
    </row>
    <row r="91" spans="1:21" ht="24" x14ac:dyDescent="0.3">
      <c r="A91" s="3"/>
      <c r="B91" s="3"/>
      <c r="H91" s="5"/>
      <c r="I91" s="6"/>
    </row>
    <row r="92" spans="1:21" ht="24" x14ac:dyDescent="0.3">
      <c r="A92" s="3"/>
      <c r="B92" s="3"/>
      <c r="H92" s="5"/>
      <c r="I92" s="6"/>
    </row>
    <row r="93" spans="1:21" ht="24" x14ac:dyDescent="0.3">
      <c r="A93" s="3"/>
      <c r="B93" s="3"/>
      <c r="H93" s="5"/>
      <c r="I93" s="6"/>
    </row>
  </sheetData>
  <mergeCells count="146">
    <mergeCell ref="K19:M19"/>
    <mergeCell ref="Q19:S19"/>
    <mergeCell ref="Z12:AB12"/>
    <mergeCell ref="Q21:S21"/>
    <mergeCell ref="C22:E22"/>
    <mergeCell ref="K22:M22"/>
    <mergeCell ref="Q22:S22"/>
    <mergeCell ref="J2:U7"/>
    <mergeCell ref="Q75:T78"/>
    <mergeCell ref="S35:T35"/>
    <mergeCell ref="Q36:S36"/>
    <mergeCell ref="Q37:S37"/>
    <mergeCell ref="Q38:T38"/>
    <mergeCell ref="Q39:S39"/>
    <mergeCell ref="K68:L68"/>
    <mergeCell ref="K69:M69"/>
    <mergeCell ref="K52:N52"/>
    <mergeCell ref="K53:M53"/>
    <mergeCell ref="K54:M54"/>
    <mergeCell ref="K55:N55"/>
    <mergeCell ref="K56:N56"/>
    <mergeCell ref="K45:N45"/>
    <mergeCell ref="K46:N46"/>
    <mergeCell ref="K47:M47"/>
    <mergeCell ref="Q46:T46"/>
    <mergeCell ref="Q47:S47"/>
    <mergeCell ref="Q48:S48"/>
    <mergeCell ref="Q51:T51"/>
    <mergeCell ref="Q52:T52"/>
    <mergeCell ref="Q40:S40"/>
    <mergeCell ref="Q41:T41"/>
    <mergeCell ref="Q42:R42"/>
    <mergeCell ref="S42:T42"/>
    <mergeCell ref="Q45:T45"/>
    <mergeCell ref="Q83:T83"/>
    <mergeCell ref="Q58:T58"/>
    <mergeCell ref="Q59:T59"/>
    <mergeCell ref="Q68:R68"/>
    <mergeCell ref="Q69:S69"/>
    <mergeCell ref="Q74:T74"/>
    <mergeCell ref="Q53:S53"/>
    <mergeCell ref="Q54:S54"/>
    <mergeCell ref="Q55:T55"/>
    <mergeCell ref="Q56:T56"/>
    <mergeCell ref="Q57:S57"/>
    <mergeCell ref="R79:S79"/>
    <mergeCell ref="R80:S80"/>
    <mergeCell ref="Q82:T82"/>
    <mergeCell ref="K83:N83"/>
    <mergeCell ref="Q9:T9"/>
    <mergeCell ref="Q13:T13"/>
    <mergeCell ref="Q15:T15"/>
    <mergeCell ref="Q16:T16"/>
    <mergeCell ref="Q17:S17"/>
    <mergeCell ref="Q18:S18"/>
    <mergeCell ref="Q20:S20"/>
    <mergeCell ref="Q23:S23"/>
    <mergeCell ref="Q24:S24"/>
    <mergeCell ref="Q29:T29"/>
    <mergeCell ref="Q31:T31"/>
    <mergeCell ref="Q32:T32"/>
    <mergeCell ref="Q33:R33"/>
    <mergeCell ref="Q34:R34"/>
    <mergeCell ref="Q35:R35"/>
    <mergeCell ref="K74:N74"/>
    <mergeCell ref="K75:N78"/>
    <mergeCell ref="L79:M79"/>
    <mergeCell ref="L80:M80"/>
    <mergeCell ref="K82:N82"/>
    <mergeCell ref="K57:M57"/>
    <mergeCell ref="K58:N58"/>
    <mergeCell ref="K59:N59"/>
    <mergeCell ref="K48:M48"/>
    <mergeCell ref="K51:N51"/>
    <mergeCell ref="K40:M40"/>
    <mergeCell ref="K41:N41"/>
    <mergeCell ref="K42:L42"/>
    <mergeCell ref="M42:N42"/>
    <mergeCell ref="K35:L35"/>
    <mergeCell ref="M35:N35"/>
    <mergeCell ref="K36:M36"/>
    <mergeCell ref="K37:M37"/>
    <mergeCell ref="K38:N38"/>
    <mergeCell ref="C54:E54"/>
    <mergeCell ref="C55:F55"/>
    <mergeCell ref="C56:F56"/>
    <mergeCell ref="C57:E57"/>
    <mergeCell ref="D80:E80"/>
    <mergeCell ref="C47:E47"/>
    <mergeCell ref="C48:E48"/>
    <mergeCell ref="C51:F51"/>
    <mergeCell ref="C52:F52"/>
    <mergeCell ref="C53:E53"/>
    <mergeCell ref="C82:F82"/>
    <mergeCell ref="C83:F83"/>
    <mergeCell ref="C58:F58"/>
    <mergeCell ref="C59:F59"/>
    <mergeCell ref="C68:D68"/>
    <mergeCell ref="C69:E69"/>
    <mergeCell ref="C74:F74"/>
    <mergeCell ref="C75:F78"/>
    <mergeCell ref="D79:E79"/>
    <mergeCell ref="C45:F45"/>
    <mergeCell ref="C46:F46"/>
    <mergeCell ref="C36:E36"/>
    <mergeCell ref="C37:E37"/>
    <mergeCell ref="C38:F38"/>
    <mergeCell ref="C39:E39"/>
    <mergeCell ref="C40:E40"/>
    <mergeCell ref="K9:N9"/>
    <mergeCell ref="K13:N13"/>
    <mergeCell ref="K15:N15"/>
    <mergeCell ref="K16:N16"/>
    <mergeCell ref="C41:F41"/>
    <mergeCell ref="K29:N29"/>
    <mergeCell ref="K31:N31"/>
    <mergeCell ref="K32:N32"/>
    <mergeCell ref="K33:L33"/>
    <mergeCell ref="K34:L34"/>
    <mergeCell ref="K17:M17"/>
    <mergeCell ref="K18:M18"/>
    <mergeCell ref="K20:M20"/>
    <mergeCell ref="K23:M23"/>
    <mergeCell ref="K24:M24"/>
    <mergeCell ref="K21:M21"/>
    <mergeCell ref="K39:M39"/>
    <mergeCell ref="C35:D35"/>
    <mergeCell ref="E35:F35"/>
    <mergeCell ref="C18:E18"/>
    <mergeCell ref="C20:E20"/>
    <mergeCell ref="C23:E23"/>
    <mergeCell ref="C24:E24"/>
    <mergeCell ref="C29:F29"/>
    <mergeCell ref="C21:E21"/>
    <mergeCell ref="C42:D42"/>
    <mergeCell ref="E42:F42"/>
    <mergeCell ref="C19:E19"/>
    <mergeCell ref="C9:F9"/>
    <mergeCell ref="C13:F13"/>
    <mergeCell ref="C15:F15"/>
    <mergeCell ref="C16:F16"/>
    <mergeCell ref="C17:E17"/>
    <mergeCell ref="C31:F31"/>
    <mergeCell ref="C32:F32"/>
    <mergeCell ref="C33:D33"/>
    <mergeCell ref="C34:D34"/>
  </mergeCells>
  <pageMargins left="0.7" right="0.7" top="0.75" bottom="0.75" header="0.3" footer="0.3"/>
  <drawing r:id="rId1"/>
  <tableParts count="9">
    <tablePart r:id="rId2"/>
    <tablePart r:id="rId3"/>
    <tablePart r:id="rId4"/>
    <tablePart r:id="rId5"/>
    <tablePart r:id="rId6"/>
    <tablePart r:id="rId7"/>
    <tablePart r:id="rId8"/>
    <tablePart r:id="rId9"/>
    <tablePart r:id="rId10"/>
  </tableParts>
  <extLst>
    <ext xmlns:x14="http://schemas.microsoft.com/office/spreadsheetml/2009/9/main" uri="{CCE6A557-97BC-4b89-ADB6-D9C93CAAB3DF}">
      <x14:dataValidations xmlns:xm="http://schemas.microsoft.com/office/excel/2006/main" count="1">
        <x14:dataValidation type="list" allowBlank="1" showInputMessage="1" prompt="Feel free to customize this number." xr:uid="{00000000-0002-0000-0000-000000000000}">
          <x14:formula1>
            <xm:f>Variables!$A$2:$A$5</xm:f>
          </x14:formula1>
          <xm:sqref>F48 N48 T48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2876B-BBE9-704A-BB86-E6F541BC222B}">
  <dimension ref="A1:I58"/>
  <sheetViews>
    <sheetView tabSelected="1" zoomScale="65" zoomScaleNormal="65" workbookViewId="0">
      <selection activeCell="G12" sqref="G12"/>
    </sheetView>
  </sheetViews>
  <sheetFormatPr baseColWidth="10" defaultColWidth="11.5" defaultRowHeight="13" outlineLevelRow="1" x14ac:dyDescent="0.15"/>
  <cols>
    <col min="1" max="1" width="77.1640625" customWidth="1"/>
    <col min="2" max="2" width="17.5" customWidth="1"/>
    <col min="3" max="3" width="43.33203125" customWidth="1"/>
    <col min="4" max="4" width="28" customWidth="1"/>
    <col min="5" max="5" width="20" customWidth="1"/>
    <col min="6" max="6" width="28.33203125" customWidth="1"/>
    <col min="7" max="7" width="92.6640625" customWidth="1"/>
    <col min="8" max="8" width="81.6640625" customWidth="1"/>
    <col min="9" max="9" width="82" customWidth="1"/>
  </cols>
  <sheetData>
    <row r="1" spans="1:9" ht="21" x14ac:dyDescent="0.25">
      <c r="A1" s="76" t="s">
        <v>61</v>
      </c>
      <c r="B1" s="76" t="s">
        <v>73</v>
      </c>
      <c r="C1" s="76" t="s">
        <v>89</v>
      </c>
      <c r="D1" s="76" t="s">
        <v>67</v>
      </c>
      <c r="E1" s="77" t="s">
        <v>76</v>
      </c>
      <c r="F1" s="76" t="s">
        <v>38</v>
      </c>
      <c r="G1" s="76" t="s">
        <v>91</v>
      </c>
      <c r="H1" s="110" t="s">
        <v>97</v>
      </c>
      <c r="I1" s="77" t="s">
        <v>103</v>
      </c>
    </row>
    <row r="2" spans="1:9" ht="21" outlineLevel="1" x14ac:dyDescent="0.25">
      <c r="A2" s="180" t="s">
        <v>70</v>
      </c>
      <c r="B2" s="181"/>
      <c r="C2" s="181"/>
      <c r="D2" s="181"/>
      <c r="E2" s="181"/>
      <c r="F2" s="181"/>
      <c r="G2" s="182"/>
      <c r="H2" s="111"/>
      <c r="I2" s="75"/>
    </row>
    <row r="3" spans="1:9" ht="19" x14ac:dyDescent="0.25">
      <c r="A3" s="90" t="s">
        <v>88</v>
      </c>
      <c r="B3" s="91">
        <v>0</v>
      </c>
      <c r="C3" s="92">
        <v>0</v>
      </c>
      <c r="D3" s="92">
        <v>0</v>
      </c>
      <c r="E3" s="93">
        <v>16000</v>
      </c>
      <c r="F3" s="94">
        <f>D3+E3*C3*B3</f>
        <v>0</v>
      </c>
      <c r="G3" s="120"/>
      <c r="H3" s="90" t="s">
        <v>136</v>
      </c>
      <c r="I3" s="75"/>
    </row>
    <row r="4" spans="1:9" ht="19" x14ac:dyDescent="0.25">
      <c r="A4" s="90" t="s">
        <v>60</v>
      </c>
      <c r="B4" s="91">
        <v>7.4999999999999997E-3</v>
      </c>
      <c r="C4" s="92">
        <f>300*12</f>
        <v>3600</v>
      </c>
      <c r="D4" s="92">
        <v>0</v>
      </c>
      <c r="E4" s="93">
        <f>E3</f>
        <v>16000</v>
      </c>
      <c r="F4" s="94">
        <f t="shared" ref="F4" si="0">D4+E4*C4*B4</f>
        <v>432000</v>
      </c>
      <c r="G4" s="122" t="s">
        <v>99</v>
      </c>
      <c r="H4" s="90" t="s">
        <v>98</v>
      </c>
      <c r="I4" s="124" t="s">
        <v>100</v>
      </c>
    </row>
    <row r="5" spans="1:9" ht="19" x14ac:dyDescent="0.25">
      <c r="A5" s="90" t="s">
        <v>157</v>
      </c>
      <c r="B5" s="131" t="s">
        <v>93</v>
      </c>
      <c r="C5" s="92">
        <v>9.52</v>
      </c>
      <c r="D5" s="92">
        <v>0</v>
      </c>
      <c r="E5" s="93">
        <f>E3*0.99</f>
        <v>15840</v>
      </c>
      <c r="F5" s="94">
        <f>D5+C5*E5</f>
        <v>150796.79999999999</v>
      </c>
      <c r="G5" s="122" t="s">
        <v>101</v>
      </c>
      <c r="H5" s="90" t="s">
        <v>102</v>
      </c>
      <c r="I5" s="75"/>
    </row>
    <row r="6" spans="1:9" ht="19" x14ac:dyDescent="0.25">
      <c r="A6" s="90" t="s">
        <v>104</v>
      </c>
      <c r="B6" s="131" t="s">
        <v>93</v>
      </c>
      <c r="C6" s="92">
        <f>C27+C28+C29+3</f>
        <v>16.2</v>
      </c>
      <c r="D6" s="92">
        <v>0</v>
      </c>
      <c r="E6" s="95">
        <f>0.02*E3</f>
        <v>320</v>
      </c>
      <c r="F6" s="94">
        <f>D6+E6*C6</f>
        <v>5184</v>
      </c>
      <c r="G6" s="122" t="s">
        <v>105</v>
      </c>
      <c r="H6" s="90" t="s">
        <v>106</v>
      </c>
      <c r="I6" s="124" t="s">
        <v>107</v>
      </c>
    </row>
    <row r="7" spans="1:9" ht="19" x14ac:dyDescent="0.25">
      <c r="A7" s="90" t="s">
        <v>138</v>
      </c>
      <c r="B7" s="131" t="s">
        <v>93</v>
      </c>
      <c r="C7" s="92">
        <f>C5</f>
        <v>9.52</v>
      </c>
      <c r="D7" s="92">
        <v>0</v>
      </c>
      <c r="E7" s="93">
        <f>E3-E5</f>
        <v>160</v>
      </c>
      <c r="F7" s="94">
        <f>D7+E7*C7</f>
        <v>1523.1999999999998</v>
      </c>
      <c r="G7" s="122" t="s">
        <v>137</v>
      </c>
      <c r="H7" s="90" t="s">
        <v>155</v>
      </c>
      <c r="I7" s="124"/>
    </row>
    <row r="8" spans="1:9" ht="19" x14ac:dyDescent="0.25">
      <c r="A8" s="183" t="s">
        <v>38</v>
      </c>
      <c r="B8" s="184"/>
      <c r="C8" s="184"/>
      <c r="D8" s="184"/>
      <c r="E8" s="185"/>
      <c r="F8" s="105">
        <f>SUM(F3:F4)</f>
        <v>432000</v>
      </c>
      <c r="G8" s="96"/>
      <c r="H8" s="90" t="s">
        <v>154</v>
      </c>
      <c r="I8" s="75"/>
    </row>
    <row r="9" spans="1:9" ht="21" x14ac:dyDescent="0.25">
      <c r="A9" s="186" t="s">
        <v>74</v>
      </c>
      <c r="B9" s="187"/>
      <c r="C9" s="187"/>
      <c r="D9" s="187"/>
      <c r="E9" s="187"/>
      <c r="F9" s="187"/>
      <c r="G9" s="188"/>
      <c r="H9" s="97"/>
      <c r="I9" s="75"/>
    </row>
    <row r="10" spans="1:9" ht="19" x14ac:dyDescent="0.25">
      <c r="A10" s="189" t="s">
        <v>17</v>
      </c>
      <c r="B10" s="190"/>
      <c r="C10" s="190"/>
      <c r="D10" s="190"/>
      <c r="E10" s="190"/>
      <c r="F10" s="190"/>
      <c r="G10" s="191"/>
      <c r="H10" s="97"/>
      <c r="I10" s="75"/>
    </row>
    <row r="11" spans="1:9" ht="19" x14ac:dyDescent="0.25">
      <c r="A11" s="97" t="s">
        <v>121</v>
      </c>
      <c r="B11" s="126" t="s">
        <v>93</v>
      </c>
      <c r="C11" s="99">
        <f>AVERAGE(C12:C14)</f>
        <v>107983.33333333333</v>
      </c>
      <c r="D11" s="97" t="s">
        <v>93</v>
      </c>
      <c r="E11" s="100">
        <f>SUM(E12:E14)</f>
        <v>3</v>
      </c>
      <c r="F11" s="101">
        <f>E11*C11</f>
        <v>323950</v>
      </c>
      <c r="G11" s="100"/>
      <c r="H11" s="97" t="s">
        <v>140</v>
      </c>
      <c r="I11" s="75"/>
    </row>
    <row r="12" spans="1:9" ht="19" x14ac:dyDescent="0.25">
      <c r="A12" s="97" t="s">
        <v>122</v>
      </c>
      <c r="B12" s="126" t="s">
        <v>93</v>
      </c>
      <c r="C12" s="99">
        <v>89000</v>
      </c>
      <c r="D12" s="97" t="s">
        <v>93</v>
      </c>
      <c r="E12" s="100">
        <v>1</v>
      </c>
      <c r="F12" s="101">
        <f t="shared" ref="F12:F14" si="1">E12*C12</f>
        <v>89000</v>
      </c>
      <c r="G12" s="123" t="s">
        <v>125</v>
      </c>
      <c r="H12" s="97" t="s">
        <v>141</v>
      </c>
      <c r="I12" s="75"/>
    </row>
    <row r="13" spans="1:9" ht="19" x14ac:dyDescent="0.25">
      <c r="A13" s="97" t="s">
        <v>123</v>
      </c>
      <c r="B13" s="126" t="s">
        <v>93</v>
      </c>
      <c r="C13" s="99">
        <v>99657</v>
      </c>
      <c r="D13" s="97" t="s">
        <v>93</v>
      </c>
      <c r="E13" s="100">
        <v>1</v>
      </c>
      <c r="F13" s="101">
        <f>C13*E13</f>
        <v>99657</v>
      </c>
      <c r="G13" s="123" t="s">
        <v>126</v>
      </c>
      <c r="H13" s="97" t="s">
        <v>142</v>
      </c>
      <c r="I13" s="75"/>
    </row>
    <row r="14" spans="1:9" ht="19" x14ac:dyDescent="0.25">
      <c r="A14" s="97" t="s">
        <v>124</v>
      </c>
      <c r="B14" s="126" t="s">
        <v>93</v>
      </c>
      <c r="C14" s="99">
        <v>135293</v>
      </c>
      <c r="D14" s="97" t="s">
        <v>93</v>
      </c>
      <c r="E14" s="100">
        <v>1</v>
      </c>
      <c r="F14" s="101">
        <f t="shared" si="1"/>
        <v>135293</v>
      </c>
      <c r="G14" s="123" t="s">
        <v>127</v>
      </c>
      <c r="H14" s="97" t="s">
        <v>143</v>
      </c>
      <c r="I14" s="75"/>
    </row>
    <row r="15" spans="1:9" ht="19" x14ac:dyDescent="0.25">
      <c r="A15" s="97" t="s">
        <v>24</v>
      </c>
      <c r="B15" s="98">
        <v>0.33333333333333337</v>
      </c>
      <c r="C15" s="132" t="s">
        <v>93</v>
      </c>
      <c r="D15" s="97" t="s">
        <v>93</v>
      </c>
      <c r="E15" s="97" t="s">
        <v>93</v>
      </c>
      <c r="F15" s="101"/>
      <c r="G15" s="100"/>
      <c r="H15" s="97"/>
      <c r="I15" s="75"/>
    </row>
    <row r="16" spans="1:9" ht="19" x14ac:dyDescent="0.25">
      <c r="A16" s="97" t="s">
        <v>95</v>
      </c>
      <c r="B16" s="98">
        <v>0.3</v>
      </c>
      <c r="C16" s="132" t="s">
        <v>93</v>
      </c>
      <c r="D16" s="97" t="s">
        <v>93</v>
      </c>
      <c r="E16" s="97" t="s">
        <v>93</v>
      </c>
      <c r="F16" s="101"/>
      <c r="G16" s="100"/>
      <c r="H16" s="97"/>
      <c r="I16" s="75"/>
    </row>
    <row r="17" spans="1:9" ht="19" x14ac:dyDescent="0.25">
      <c r="A17" s="192" t="s">
        <v>96</v>
      </c>
      <c r="B17" s="193"/>
      <c r="C17" s="193"/>
      <c r="D17" s="193"/>
      <c r="E17" s="194"/>
      <c r="F17" s="106">
        <f>F11*(1+B15+B16)</f>
        <v>529118.33333333337</v>
      </c>
      <c r="G17" s="100"/>
      <c r="H17" s="97"/>
      <c r="I17" s="75"/>
    </row>
    <row r="18" spans="1:9" ht="19" x14ac:dyDescent="0.25">
      <c r="A18" s="189" t="s">
        <v>72</v>
      </c>
      <c r="B18" s="190"/>
      <c r="C18" s="190"/>
      <c r="D18" s="190"/>
      <c r="E18" s="190"/>
      <c r="F18" s="190"/>
      <c r="G18" s="191"/>
      <c r="H18" s="97"/>
      <c r="I18" s="75"/>
    </row>
    <row r="19" spans="1:9" ht="19" x14ac:dyDescent="0.25">
      <c r="A19" s="97" t="s">
        <v>116</v>
      </c>
      <c r="B19" s="126" t="s">
        <v>93</v>
      </c>
      <c r="C19" s="101">
        <f>6.7+7.19</f>
        <v>13.89</v>
      </c>
      <c r="D19" s="101">
        <v>0</v>
      </c>
      <c r="E19" s="100">
        <v>3000</v>
      </c>
      <c r="F19" s="103">
        <f>D19+C19*E19</f>
        <v>41670</v>
      </c>
      <c r="G19" s="123" t="s">
        <v>110</v>
      </c>
      <c r="H19" s="97" t="s">
        <v>144</v>
      </c>
      <c r="I19" s="75"/>
    </row>
    <row r="20" spans="1:9" ht="19" x14ac:dyDescent="0.25">
      <c r="A20" s="97" t="s">
        <v>77</v>
      </c>
      <c r="B20" s="126" t="s">
        <v>93</v>
      </c>
      <c r="C20" s="101">
        <v>3</v>
      </c>
      <c r="D20" s="101">
        <v>0</v>
      </c>
      <c r="E20" s="100">
        <f>E19</f>
        <v>3000</v>
      </c>
      <c r="F20" s="103">
        <f t="shared" ref="F20:F21" si="2">D20+C20*E20</f>
        <v>9000</v>
      </c>
      <c r="G20" s="123" t="s">
        <v>111</v>
      </c>
      <c r="H20" s="97"/>
      <c r="I20" s="75"/>
    </row>
    <row r="21" spans="1:9" ht="19" x14ac:dyDescent="0.25">
      <c r="A21" s="78" t="s">
        <v>78</v>
      </c>
      <c r="B21" s="126" t="s">
        <v>93</v>
      </c>
      <c r="C21" s="101">
        <v>0.02</v>
      </c>
      <c r="D21" s="101">
        <v>0</v>
      </c>
      <c r="E21" s="100">
        <f>E19</f>
        <v>3000</v>
      </c>
      <c r="F21" s="103">
        <f t="shared" si="2"/>
        <v>60</v>
      </c>
      <c r="G21" s="123" t="s">
        <v>112</v>
      </c>
      <c r="H21" s="97"/>
      <c r="I21" s="75"/>
    </row>
    <row r="22" spans="1:9" ht="19" x14ac:dyDescent="0.25">
      <c r="A22" s="192" t="s">
        <v>38</v>
      </c>
      <c r="B22" s="193"/>
      <c r="C22" s="193"/>
      <c r="D22" s="193"/>
      <c r="E22" s="194"/>
      <c r="F22" s="106">
        <f>SUM(F19:F21)</f>
        <v>50730</v>
      </c>
      <c r="G22" s="102"/>
      <c r="H22" s="97"/>
      <c r="I22" s="75"/>
    </row>
    <row r="23" spans="1:9" ht="19" x14ac:dyDescent="0.25">
      <c r="A23" s="125" t="s">
        <v>71</v>
      </c>
      <c r="B23" s="102"/>
      <c r="C23" s="102"/>
      <c r="D23" s="102"/>
      <c r="E23" s="102"/>
      <c r="F23" s="102"/>
      <c r="G23" s="102"/>
      <c r="H23" s="97"/>
      <c r="I23" s="75"/>
    </row>
    <row r="24" spans="1:9" ht="19" x14ac:dyDescent="0.25">
      <c r="A24" s="97" t="s">
        <v>94</v>
      </c>
      <c r="B24" s="79" t="s">
        <v>93</v>
      </c>
      <c r="C24" s="101">
        <v>10000</v>
      </c>
      <c r="D24" s="101">
        <v>0</v>
      </c>
      <c r="E24" s="100">
        <v>1</v>
      </c>
      <c r="F24" s="103">
        <f>D24+C24*E24</f>
        <v>10000</v>
      </c>
      <c r="G24" s="102"/>
      <c r="H24" s="97" t="s">
        <v>145</v>
      </c>
      <c r="I24" s="75"/>
    </row>
    <row r="25" spans="1:9" ht="19" x14ac:dyDescent="0.25">
      <c r="A25" s="192" t="s">
        <v>38</v>
      </c>
      <c r="B25" s="193"/>
      <c r="C25" s="193"/>
      <c r="D25" s="193"/>
      <c r="E25" s="194"/>
      <c r="F25" s="106">
        <f>SUM(F24)</f>
        <v>10000</v>
      </c>
      <c r="G25" s="102"/>
      <c r="H25" s="97"/>
      <c r="I25" s="75"/>
    </row>
    <row r="26" spans="1:9" ht="19" x14ac:dyDescent="0.25">
      <c r="A26" s="125" t="s">
        <v>68</v>
      </c>
      <c r="B26" s="102"/>
      <c r="C26" s="102"/>
      <c r="D26" s="102"/>
      <c r="E26" s="102"/>
      <c r="F26" s="102"/>
      <c r="G26" s="102"/>
      <c r="H26" s="97"/>
      <c r="I26" s="75"/>
    </row>
    <row r="27" spans="1:9" ht="19" x14ac:dyDescent="0.25">
      <c r="A27" s="78" t="s">
        <v>62</v>
      </c>
      <c r="B27" s="79" t="s">
        <v>93</v>
      </c>
      <c r="C27" s="80">
        <v>1.5</v>
      </c>
      <c r="D27" s="80">
        <v>0</v>
      </c>
      <c r="E27" s="104">
        <f>E6</f>
        <v>320</v>
      </c>
      <c r="F27" s="80">
        <f>D27+C27*E27</f>
        <v>480</v>
      </c>
      <c r="G27" s="134" t="s">
        <v>147</v>
      </c>
      <c r="H27" s="97" t="s">
        <v>146</v>
      </c>
      <c r="I27" s="75"/>
    </row>
    <row r="28" spans="1:9" ht="18" customHeight="1" x14ac:dyDescent="0.25">
      <c r="A28" s="78" t="s">
        <v>63</v>
      </c>
      <c r="B28" s="79" t="s">
        <v>93</v>
      </c>
      <c r="C28" s="80">
        <v>8.5</v>
      </c>
      <c r="D28" s="80">
        <v>0</v>
      </c>
      <c r="E28" s="104">
        <f>E6</f>
        <v>320</v>
      </c>
      <c r="F28" s="80">
        <f t="shared" ref="F28:F29" si="3">D28+C28*E28</f>
        <v>2720</v>
      </c>
      <c r="G28" s="121" t="s">
        <v>108</v>
      </c>
      <c r="H28" s="97"/>
      <c r="I28" s="75"/>
    </row>
    <row r="29" spans="1:9" ht="19" x14ac:dyDescent="0.25">
      <c r="A29" s="78" t="s">
        <v>64</v>
      </c>
      <c r="B29" s="79" t="s">
        <v>93</v>
      </c>
      <c r="C29" s="80">
        <v>3.2</v>
      </c>
      <c r="D29" s="80">
        <v>0</v>
      </c>
      <c r="E29" s="104">
        <f>E6</f>
        <v>320</v>
      </c>
      <c r="F29" s="80">
        <f t="shared" si="3"/>
        <v>1024</v>
      </c>
      <c r="G29" s="78"/>
      <c r="H29" s="97"/>
      <c r="I29" s="75"/>
    </row>
    <row r="30" spans="1:9" ht="24" customHeight="1" x14ac:dyDescent="0.25">
      <c r="A30" s="192" t="s">
        <v>38</v>
      </c>
      <c r="B30" s="193"/>
      <c r="C30" s="193"/>
      <c r="D30" s="193"/>
      <c r="E30" s="194"/>
      <c r="F30" s="107">
        <f>SUM(F27:F29)</f>
        <v>4224</v>
      </c>
      <c r="G30" s="78"/>
      <c r="H30" s="97"/>
      <c r="I30" s="75"/>
    </row>
    <row r="31" spans="1:9" ht="21" customHeight="1" x14ac:dyDescent="0.25">
      <c r="A31" s="189" t="s">
        <v>69</v>
      </c>
      <c r="B31" s="190"/>
      <c r="C31" s="190"/>
      <c r="D31" s="190"/>
      <c r="E31" s="190"/>
      <c r="F31" s="190"/>
      <c r="G31" s="191"/>
      <c r="H31" s="97"/>
      <c r="I31" s="75"/>
    </row>
    <row r="32" spans="1:9" ht="21" customHeight="1" x14ac:dyDescent="0.25">
      <c r="A32" s="78" t="s">
        <v>65</v>
      </c>
      <c r="B32" s="79" t="s">
        <v>93</v>
      </c>
      <c r="C32" s="80">
        <v>2.5999999999999999E-2</v>
      </c>
      <c r="D32" s="80">
        <v>0</v>
      </c>
      <c r="E32" s="78">
        <f>2*E3/5</f>
        <v>6400</v>
      </c>
      <c r="F32" s="80">
        <f>D32+C32*E32</f>
        <v>166.4</v>
      </c>
      <c r="G32" s="121" t="s">
        <v>113</v>
      </c>
      <c r="H32" s="97" t="s">
        <v>148</v>
      </c>
      <c r="I32" s="75"/>
    </row>
    <row r="33" spans="1:9" ht="21" customHeight="1" x14ac:dyDescent="0.25">
      <c r="A33" s="78" t="s">
        <v>66</v>
      </c>
      <c r="B33" s="79"/>
      <c r="C33" s="80"/>
      <c r="D33" s="80"/>
      <c r="E33" s="78"/>
      <c r="F33" s="80">
        <f t="shared" ref="F33:F34" si="4">D33+C33*E33</f>
        <v>0</v>
      </c>
      <c r="G33" s="78"/>
      <c r="H33" s="97" t="s">
        <v>114</v>
      </c>
      <c r="I33" s="75"/>
    </row>
    <row r="34" spans="1:9" ht="27" customHeight="1" x14ac:dyDescent="0.25">
      <c r="A34" s="78" t="s">
        <v>86</v>
      </c>
      <c r="B34" s="79" t="s">
        <v>93</v>
      </c>
      <c r="C34" s="80">
        <v>300</v>
      </c>
      <c r="D34" s="80">
        <v>0</v>
      </c>
      <c r="E34" s="78">
        <v>12</v>
      </c>
      <c r="F34" s="80">
        <f t="shared" si="4"/>
        <v>3600</v>
      </c>
      <c r="G34" s="121" t="s">
        <v>115</v>
      </c>
      <c r="H34" s="97"/>
      <c r="I34" s="75"/>
    </row>
    <row r="35" spans="1:9" ht="21" customHeight="1" x14ac:dyDescent="0.25">
      <c r="A35" s="192" t="s">
        <v>38</v>
      </c>
      <c r="B35" s="193"/>
      <c r="C35" s="193"/>
      <c r="D35" s="193"/>
      <c r="E35" s="194"/>
      <c r="F35" s="107">
        <f>F32+F34</f>
        <v>3766.4</v>
      </c>
      <c r="G35" s="78"/>
      <c r="H35" s="97"/>
      <c r="I35" s="75"/>
    </row>
    <row r="36" spans="1:9" ht="21" customHeight="1" x14ac:dyDescent="0.25">
      <c r="A36" s="81" t="s">
        <v>92</v>
      </c>
      <c r="B36" s="82"/>
      <c r="C36" s="82"/>
      <c r="D36" s="82"/>
      <c r="E36" s="82"/>
      <c r="F36" s="82"/>
      <c r="G36" s="83"/>
      <c r="H36" s="113"/>
      <c r="I36" s="75"/>
    </row>
    <row r="37" spans="1:9" ht="21" customHeight="1" x14ac:dyDescent="0.25">
      <c r="A37" s="84" t="s">
        <v>79</v>
      </c>
      <c r="B37" s="85"/>
      <c r="C37" s="86">
        <v>160</v>
      </c>
      <c r="D37" s="87">
        <v>0</v>
      </c>
      <c r="E37" s="88">
        <v>2</v>
      </c>
      <c r="F37" s="86">
        <f>D37+C37*E37</f>
        <v>320</v>
      </c>
      <c r="G37" s="128" t="s">
        <v>90</v>
      </c>
      <c r="H37" s="113"/>
      <c r="I37" s="75"/>
    </row>
    <row r="38" spans="1:9" ht="21" customHeight="1" x14ac:dyDescent="0.25">
      <c r="A38" s="84" t="s">
        <v>80</v>
      </c>
      <c r="B38" s="85"/>
      <c r="C38" s="86">
        <v>10000</v>
      </c>
      <c r="D38" s="87"/>
      <c r="E38" s="88">
        <f>1</f>
        <v>1</v>
      </c>
      <c r="F38" s="86">
        <f t="shared" ref="F38:F43" si="5">D38+C38*E38</f>
        <v>10000</v>
      </c>
      <c r="G38" s="129" t="s">
        <v>117</v>
      </c>
      <c r="H38" s="113"/>
      <c r="I38" s="75"/>
    </row>
    <row r="39" spans="1:9" ht="21" customHeight="1" x14ac:dyDescent="0.25">
      <c r="A39" s="84" t="s">
        <v>81</v>
      </c>
      <c r="B39" s="85"/>
      <c r="C39" s="86">
        <v>45</v>
      </c>
      <c r="D39" s="86">
        <v>70000</v>
      </c>
      <c r="E39" s="88">
        <f>100</f>
        <v>100</v>
      </c>
      <c r="F39" s="86">
        <f t="shared" si="5"/>
        <v>74500</v>
      </c>
      <c r="G39" s="130" t="s">
        <v>118</v>
      </c>
      <c r="H39" s="113"/>
      <c r="I39" s="75"/>
    </row>
    <row r="40" spans="1:9" ht="21" customHeight="1" x14ac:dyDescent="0.25">
      <c r="A40" s="84" t="s">
        <v>82</v>
      </c>
      <c r="B40" s="85"/>
      <c r="C40" s="86">
        <v>10000</v>
      </c>
      <c r="D40" s="87"/>
      <c r="E40" s="88">
        <v>1</v>
      </c>
      <c r="F40" s="86">
        <f t="shared" si="5"/>
        <v>10000</v>
      </c>
      <c r="G40" s="130" t="s">
        <v>119</v>
      </c>
      <c r="H40" s="113"/>
      <c r="I40" s="75"/>
    </row>
    <row r="41" spans="1:9" ht="21" customHeight="1" x14ac:dyDescent="0.25">
      <c r="A41" s="84" t="s">
        <v>83</v>
      </c>
      <c r="B41" s="85"/>
      <c r="C41" s="86">
        <v>175</v>
      </c>
      <c r="D41" s="87"/>
      <c r="E41" s="88">
        <f>E39</f>
        <v>100</v>
      </c>
      <c r="F41" s="86">
        <f t="shared" si="5"/>
        <v>17500</v>
      </c>
      <c r="G41" s="129" t="s">
        <v>120</v>
      </c>
      <c r="H41" s="113"/>
      <c r="I41" s="75"/>
    </row>
    <row r="42" spans="1:9" ht="18" customHeight="1" x14ac:dyDescent="0.25">
      <c r="A42" s="84" t="s">
        <v>84</v>
      </c>
      <c r="B42" s="85"/>
      <c r="C42" s="86">
        <v>3.2</v>
      </c>
      <c r="D42" s="87"/>
      <c r="E42" s="88">
        <f>E39</f>
        <v>100</v>
      </c>
      <c r="F42" s="86">
        <f t="shared" si="5"/>
        <v>320</v>
      </c>
      <c r="G42" s="117"/>
      <c r="H42" s="113"/>
      <c r="I42" s="75"/>
    </row>
    <row r="43" spans="1:9" ht="19" x14ac:dyDescent="0.25">
      <c r="A43" s="84" t="s">
        <v>85</v>
      </c>
      <c r="B43" s="85"/>
      <c r="C43" s="86">
        <v>0.99</v>
      </c>
      <c r="D43" s="87"/>
      <c r="E43" s="88">
        <f>E39</f>
        <v>100</v>
      </c>
      <c r="F43" s="86">
        <f t="shared" si="5"/>
        <v>99</v>
      </c>
      <c r="G43" s="117"/>
      <c r="H43" s="113"/>
      <c r="I43" s="75"/>
    </row>
    <row r="44" spans="1:9" ht="19" x14ac:dyDescent="0.25">
      <c r="A44" s="195" t="s">
        <v>38</v>
      </c>
      <c r="B44" s="196"/>
      <c r="C44" s="196"/>
      <c r="D44" s="196"/>
      <c r="E44" s="197"/>
      <c r="F44" s="89">
        <f>SUM(F37:F43)</f>
        <v>112739</v>
      </c>
      <c r="G44" s="117"/>
      <c r="H44" s="113"/>
      <c r="I44" s="75"/>
    </row>
    <row r="45" spans="1:9" ht="19" x14ac:dyDescent="0.25">
      <c r="A45" s="199" t="s">
        <v>109</v>
      </c>
      <c r="B45" s="200"/>
      <c r="C45" s="200"/>
      <c r="D45" s="200"/>
      <c r="E45" s="200"/>
      <c r="F45" s="200"/>
      <c r="G45" s="201"/>
      <c r="H45" s="113"/>
      <c r="I45" s="75"/>
    </row>
    <row r="46" spans="1:9" ht="19" x14ac:dyDescent="0.25">
      <c r="A46" s="113" t="s">
        <v>87</v>
      </c>
      <c r="B46" s="114"/>
      <c r="C46" s="115"/>
      <c r="D46" s="115"/>
      <c r="E46" s="116"/>
      <c r="F46" s="115"/>
      <c r="G46" s="116"/>
      <c r="H46" s="113"/>
      <c r="I46" s="75"/>
    </row>
    <row r="47" spans="1:9" ht="19" x14ac:dyDescent="0.25">
      <c r="A47" s="117"/>
      <c r="B47" s="118"/>
      <c r="C47" s="119"/>
      <c r="D47" s="119"/>
      <c r="E47" s="117"/>
      <c r="F47" s="119"/>
      <c r="G47" s="117"/>
      <c r="H47" s="113"/>
      <c r="I47" s="75"/>
    </row>
    <row r="48" spans="1:9" ht="19" x14ac:dyDescent="0.25">
      <c r="A48" s="198" t="s">
        <v>38</v>
      </c>
      <c r="B48" s="198"/>
      <c r="C48" s="198"/>
      <c r="D48" s="198"/>
      <c r="E48" s="198"/>
      <c r="F48" s="115">
        <f>SUM(F46:F47)</f>
        <v>0</v>
      </c>
      <c r="G48" s="117"/>
      <c r="H48" s="113"/>
      <c r="I48" s="75"/>
    </row>
    <row r="49" spans="1:9" ht="19" x14ac:dyDescent="0.25">
      <c r="A49" s="202" t="s">
        <v>40</v>
      </c>
      <c r="B49" s="203"/>
      <c r="C49" s="203"/>
      <c r="D49" s="203"/>
      <c r="E49" s="204"/>
      <c r="F49" s="107">
        <f>F35+F30+F25+F22+F17</f>
        <v>597838.7333333334</v>
      </c>
      <c r="G49" s="74"/>
      <c r="H49" s="112"/>
      <c r="I49" s="75"/>
    </row>
    <row r="50" spans="1:9" ht="19" x14ac:dyDescent="0.25">
      <c r="A50" s="202" t="s">
        <v>75</v>
      </c>
      <c r="B50" s="203"/>
      <c r="C50" s="203"/>
      <c r="D50" s="203"/>
      <c r="E50" s="204"/>
      <c r="F50" s="109">
        <f>F8-F49</f>
        <v>-165838.7333333334</v>
      </c>
      <c r="G50" s="108"/>
      <c r="H50" s="112"/>
      <c r="I50" s="75"/>
    </row>
    <row r="54" spans="1:9" ht="19" x14ac:dyDescent="0.25">
      <c r="A54" s="73" t="s">
        <v>130</v>
      </c>
      <c r="B54" s="73">
        <v>1.25</v>
      </c>
    </row>
    <row r="55" spans="1:9" ht="19" x14ac:dyDescent="0.25">
      <c r="A55" s="73" t="s">
        <v>131</v>
      </c>
      <c r="B55" s="127" t="s">
        <v>132</v>
      </c>
    </row>
    <row r="57" spans="1:9" ht="19" x14ac:dyDescent="0.25">
      <c r="A57" s="73" t="s">
        <v>134</v>
      </c>
      <c r="B57" s="73">
        <v>1.8</v>
      </c>
    </row>
    <row r="58" spans="1:9" ht="19" x14ac:dyDescent="0.25">
      <c r="A58" s="73" t="s">
        <v>135</v>
      </c>
      <c r="B58" s="127" t="s">
        <v>133</v>
      </c>
    </row>
  </sheetData>
  <mergeCells count="16">
    <mergeCell ref="A44:E44"/>
    <mergeCell ref="A22:E22"/>
    <mergeCell ref="A48:E48"/>
    <mergeCell ref="A45:G45"/>
    <mergeCell ref="A50:E50"/>
    <mergeCell ref="A31:G31"/>
    <mergeCell ref="A35:E35"/>
    <mergeCell ref="A49:E49"/>
    <mergeCell ref="A2:G2"/>
    <mergeCell ref="A8:E8"/>
    <mergeCell ref="A9:G9"/>
    <mergeCell ref="A10:G10"/>
    <mergeCell ref="A30:E30"/>
    <mergeCell ref="A18:G18"/>
    <mergeCell ref="A25:E25"/>
    <mergeCell ref="A17:E17"/>
  </mergeCells>
  <hyperlinks>
    <hyperlink ref="G37" r:id="rId1" xr:uid="{125FBFE8-9A1B-704D-89CF-4CA062006D92}"/>
    <hyperlink ref="G4" r:id="rId2" xr:uid="{7C0FE3AD-D245-6945-9322-4C5377038DCE}"/>
    <hyperlink ref="I4" r:id="rId3" xr:uid="{86E87391-67B9-6849-81B7-23BC7D6AA31D}"/>
    <hyperlink ref="G5" r:id="rId4" xr:uid="{472C7C8B-E7DC-794D-83A3-37B72FC856C7}"/>
    <hyperlink ref="G6" r:id="rId5" xr:uid="{50D65901-BC64-D945-B498-739E456E1EA6}"/>
    <hyperlink ref="I6" r:id="rId6" xr:uid="{758D3D63-3750-564F-B2E2-DF7D15473EC0}"/>
    <hyperlink ref="G28" r:id="rId7" xr:uid="{B5873306-BAF9-B544-AEA1-3D39C9F4C35D}"/>
    <hyperlink ref="G19" r:id="rId8" xr:uid="{462F3A75-9C55-1049-8D48-15FFBBC62F24}"/>
    <hyperlink ref="G20" r:id="rId9" xr:uid="{790C8070-64DA-9D4E-8208-F84D579518E5}"/>
    <hyperlink ref="G21" r:id="rId10" xr:uid="{84442952-A755-E140-B051-306FC641D950}"/>
    <hyperlink ref="G32" r:id="rId11" xr:uid="{E5ACE338-E1DB-E044-83F2-826F99F124D4}"/>
    <hyperlink ref="G34" r:id="rId12" xr:uid="{3C997B15-3858-3947-8B65-8FA1B5B3AAE7}"/>
    <hyperlink ref="G38" r:id="rId13" display="https://www.cadcrowd.com/blog/how-much-does-product-design-cost-what-are-prices-for-freelance-design-firms/" xr:uid="{9247EC98-1A75-8F49-876E-93D31ED12718}"/>
    <hyperlink ref="G39" r:id="rId14" xr:uid="{5FCC878E-A0BF-5C41-987F-8B8303E171E7}"/>
    <hyperlink ref="G40" r:id="rId15" xr:uid="{CFF4AC94-1E3D-924C-ACED-80C38BB5B22A}"/>
    <hyperlink ref="G41" r:id="rId16" xr:uid="{DCCCED4C-5F08-7544-8014-19DDB8E13D22}"/>
    <hyperlink ref="G12" r:id="rId17" xr:uid="{D48E4057-A8AB-EB49-AFE7-96ECCCACC4C7}"/>
    <hyperlink ref="G13" r:id="rId18" xr:uid="{16F2E0EC-1524-3949-ACA1-44B28346E48F}"/>
    <hyperlink ref="G14" r:id="rId19" xr:uid="{FB43FAA8-5794-A543-9190-3BF1DE9495A7}"/>
    <hyperlink ref="B55" r:id="rId20" xr:uid="{824E711F-9CAB-5743-BC5D-6D9959F790EE}"/>
    <hyperlink ref="B58" r:id="rId21" xr:uid="{16DF3B0A-D44E-A447-8AA4-FF9FC9CA9B6F}"/>
    <hyperlink ref="G27" r:id="rId22" xr:uid="{F45DE344-F967-4A40-B38A-B0D8046025B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6D3A9-FA8B-1B47-92B5-483586E287E0}">
  <dimension ref="A1:I58"/>
  <sheetViews>
    <sheetView zoomScale="65" workbookViewId="0">
      <selection activeCell="A5" sqref="A5"/>
    </sheetView>
  </sheetViews>
  <sheetFormatPr baseColWidth="10" defaultColWidth="11.5" defaultRowHeight="13" outlineLevelRow="1" x14ac:dyDescent="0.15"/>
  <cols>
    <col min="1" max="1" width="77.1640625" customWidth="1"/>
    <col min="2" max="2" width="17.5" customWidth="1"/>
    <col min="3" max="3" width="43.33203125" customWidth="1"/>
    <col min="4" max="4" width="28" customWidth="1"/>
    <col min="5" max="5" width="20" customWidth="1"/>
    <col min="6" max="6" width="28.33203125" customWidth="1"/>
    <col min="7" max="7" width="92.6640625" customWidth="1"/>
    <col min="8" max="8" width="81.6640625" customWidth="1"/>
    <col min="9" max="9" width="82" customWidth="1"/>
  </cols>
  <sheetData>
    <row r="1" spans="1:9" ht="21" x14ac:dyDescent="0.25">
      <c r="A1" s="76" t="s">
        <v>61</v>
      </c>
      <c r="B1" s="76" t="s">
        <v>73</v>
      </c>
      <c r="C1" s="76" t="s">
        <v>89</v>
      </c>
      <c r="D1" s="76" t="s">
        <v>67</v>
      </c>
      <c r="E1" s="77" t="s">
        <v>76</v>
      </c>
      <c r="F1" s="76" t="s">
        <v>38</v>
      </c>
      <c r="G1" s="76" t="s">
        <v>91</v>
      </c>
      <c r="H1" s="110" t="s">
        <v>97</v>
      </c>
      <c r="I1" s="77" t="s">
        <v>103</v>
      </c>
    </row>
    <row r="2" spans="1:9" ht="21" outlineLevel="1" x14ac:dyDescent="0.25">
      <c r="A2" s="180" t="s">
        <v>70</v>
      </c>
      <c r="B2" s="181"/>
      <c r="C2" s="181"/>
      <c r="D2" s="181"/>
      <c r="E2" s="181"/>
      <c r="F2" s="181"/>
      <c r="G2" s="182"/>
      <c r="H2" s="111"/>
      <c r="I2" s="75"/>
    </row>
    <row r="3" spans="1:9" ht="19" x14ac:dyDescent="0.25">
      <c r="A3" s="90" t="s">
        <v>88</v>
      </c>
      <c r="B3" s="91">
        <v>0</v>
      </c>
      <c r="C3" s="92">
        <v>0</v>
      </c>
      <c r="D3" s="92">
        <v>0</v>
      </c>
      <c r="E3" s="93">
        <v>28800</v>
      </c>
      <c r="F3" s="94">
        <f>D3+E3*C3*B3</f>
        <v>0</v>
      </c>
      <c r="G3" s="120"/>
      <c r="H3" s="90" t="s">
        <v>136</v>
      </c>
      <c r="I3" s="75"/>
    </row>
    <row r="4" spans="1:9" ht="19" x14ac:dyDescent="0.25">
      <c r="A4" s="90" t="s">
        <v>60</v>
      </c>
      <c r="B4" s="91">
        <v>7.4999999999999997E-3</v>
      </c>
      <c r="C4" s="92">
        <f>'Financial Projections'!N21</f>
        <v>4500</v>
      </c>
      <c r="D4" s="92">
        <v>0</v>
      </c>
      <c r="E4" s="93">
        <f>E3</f>
        <v>28800</v>
      </c>
      <c r="F4" s="94">
        <f t="shared" ref="F4" si="0">D4+E4*C4*B4</f>
        <v>972000</v>
      </c>
      <c r="G4" s="122" t="s">
        <v>99</v>
      </c>
      <c r="H4" s="90" t="s">
        <v>98</v>
      </c>
      <c r="I4" s="124" t="s">
        <v>100</v>
      </c>
    </row>
    <row r="5" spans="1:9" ht="19" x14ac:dyDescent="0.25">
      <c r="A5" s="90" t="s">
        <v>157</v>
      </c>
      <c r="B5" s="131" t="s">
        <v>93</v>
      </c>
      <c r="C5" s="92">
        <v>9.52</v>
      </c>
      <c r="D5" s="92">
        <v>0</v>
      </c>
      <c r="E5" s="93">
        <f>E3*0.99</f>
        <v>28512</v>
      </c>
      <c r="F5" s="94">
        <f>D5+C5*E5</f>
        <v>271434.23999999999</v>
      </c>
      <c r="G5" s="122" t="s">
        <v>101</v>
      </c>
      <c r="H5" s="90" t="s">
        <v>102</v>
      </c>
      <c r="I5" s="75"/>
    </row>
    <row r="6" spans="1:9" ht="19" x14ac:dyDescent="0.25">
      <c r="A6" s="90" t="s">
        <v>104</v>
      </c>
      <c r="B6" s="131" t="s">
        <v>93</v>
      </c>
      <c r="C6" s="92">
        <f>C27+C28+C29+3</f>
        <v>16.2</v>
      </c>
      <c r="D6" s="92">
        <v>0</v>
      </c>
      <c r="E6" s="95">
        <f>0.02*E3</f>
        <v>576</v>
      </c>
      <c r="F6" s="94">
        <f>D6+E6*C6</f>
        <v>9331.1999999999989</v>
      </c>
      <c r="G6" s="122" t="s">
        <v>105</v>
      </c>
      <c r="H6" s="90" t="s">
        <v>106</v>
      </c>
      <c r="I6" s="124" t="s">
        <v>107</v>
      </c>
    </row>
    <row r="7" spans="1:9" ht="19" x14ac:dyDescent="0.25">
      <c r="A7" s="90" t="s">
        <v>138</v>
      </c>
      <c r="B7" s="131" t="s">
        <v>93</v>
      </c>
      <c r="C7" s="92">
        <f>C5</f>
        <v>9.52</v>
      </c>
      <c r="D7" s="92">
        <v>0</v>
      </c>
      <c r="E7" s="93">
        <f>E3-E5</f>
        <v>288</v>
      </c>
      <c r="F7" s="94">
        <f>D7+E7*C7</f>
        <v>2741.7599999999998</v>
      </c>
      <c r="G7" s="122" t="s">
        <v>137</v>
      </c>
      <c r="H7" s="90" t="s">
        <v>139</v>
      </c>
      <c r="I7" s="124"/>
    </row>
    <row r="8" spans="1:9" ht="19" x14ac:dyDescent="0.25">
      <c r="A8" s="183" t="s">
        <v>38</v>
      </c>
      <c r="B8" s="184"/>
      <c r="C8" s="184"/>
      <c r="D8" s="184"/>
      <c r="E8" s="185"/>
      <c r="F8" s="105">
        <f>SUM(F3:F4)</f>
        <v>972000</v>
      </c>
      <c r="G8" s="96"/>
      <c r="H8" s="90" t="s">
        <v>154</v>
      </c>
      <c r="I8" s="75"/>
    </row>
    <row r="9" spans="1:9" ht="21" x14ac:dyDescent="0.25">
      <c r="A9" s="186" t="s">
        <v>74</v>
      </c>
      <c r="B9" s="187"/>
      <c r="C9" s="187"/>
      <c r="D9" s="187"/>
      <c r="E9" s="187"/>
      <c r="F9" s="187"/>
      <c r="G9" s="188"/>
      <c r="H9" s="97"/>
      <c r="I9" s="75"/>
    </row>
    <row r="10" spans="1:9" ht="19" x14ac:dyDescent="0.25">
      <c r="A10" s="189" t="s">
        <v>17</v>
      </c>
      <c r="B10" s="190"/>
      <c r="C10" s="190"/>
      <c r="D10" s="190"/>
      <c r="E10" s="190"/>
      <c r="F10" s="190"/>
      <c r="G10" s="191"/>
      <c r="H10" s="97"/>
      <c r="I10" s="75"/>
    </row>
    <row r="11" spans="1:9" ht="19" x14ac:dyDescent="0.25">
      <c r="A11" s="97" t="s">
        <v>121</v>
      </c>
      <c r="B11" s="126" t="s">
        <v>93</v>
      </c>
      <c r="C11" s="99">
        <f>AVERAGE(C12:C14)</f>
        <v>107983.33333333333</v>
      </c>
      <c r="D11" s="97" t="s">
        <v>93</v>
      </c>
      <c r="E11" s="99">
        <f>'Financial Projections'!N34</f>
        <v>5</v>
      </c>
      <c r="F11" s="101">
        <f>E11*C11</f>
        <v>539916.66666666663</v>
      </c>
      <c r="G11" s="100"/>
      <c r="H11" s="97" t="s">
        <v>140</v>
      </c>
      <c r="I11" s="75"/>
    </row>
    <row r="12" spans="1:9" ht="19" x14ac:dyDescent="0.25">
      <c r="A12" s="97" t="s">
        <v>122</v>
      </c>
      <c r="B12" s="126" t="s">
        <v>93</v>
      </c>
      <c r="C12" s="99">
        <v>89000</v>
      </c>
      <c r="D12" s="97" t="s">
        <v>93</v>
      </c>
      <c r="E12" s="100">
        <v>1</v>
      </c>
      <c r="F12" s="101">
        <f t="shared" ref="F12:F14" si="1">E12*C12</f>
        <v>89000</v>
      </c>
      <c r="G12" s="123" t="s">
        <v>125</v>
      </c>
      <c r="H12" s="97" t="s">
        <v>141</v>
      </c>
      <c r="I12" s="75"/>
    </row>
    <row r="13" spans="1:9" ht="19" x14ac:dyDescent="0.25">
      <c r="A13" s="97" t="s">
        <v>123</v>
      </c>
      <c r="B13" s="126" t="s">
        <v>93</v>
      </c>
      <c r="C13" s="99">
        <v>99657</v>
      </c>
      <c r="D13" s="97" t="s">
        <v>93</v>
      </c>
      <c r="E13" s="100">
        <v>1</v>
      </c>
      <c r="F13" s="101">
        <f>C13*E13</f>
        <v>99657</v>
      </c>
      <c r="G13" s="123" t="s">
        <v>126</v>
      </c>
      <c r="H13" s="97" t="s">
        <v>142</v>
      </c>
      <c r="I13" s="75"/>
    </row>
    <row r="14" spans="1:9" ht="19" x14ac:dyDescent="0.25">
      <c r="A14" s="97" t="s">
        <v>124</v>
      </c>
      <c r="B14" s="126" t="s">
        <v>93</v>
      </c>
      <c r="C14" s="99">
        <v>135293</v>
      </c>
      <c r="D14" s="97" t="s">
        <v>93</v>
      </c>
      <c r="E14" s="100">
        <v>1</v>
      </c>
      <c r="F14" s="101">
        <f t="shared" si="1"/>
        <v>135293</v>
      </c>
      <c r="G14" s="123" t="s">
        <v>127</v>
      </c>
      <c r="H14" s="97" t="s">
        <v>143</v>
      </c>
      <c r="I14" s="75"/>
    </row>
    <row r="15" spans="1:9" ht="19" x14ac:dyDescent="0.25">
      <c r="A15" s="97" t="s">
        <v>24</v>
      </c>
      <c r="B15" s="98">
        <v>0.33333333333333337</v>
      </c>
      <c r="C15" s="132" t="s">
        <v>93</v>
      </c>
      <c r="D15" s="97" t="s">
        <v>93</v>
      </c>
      <c r="E15" s="97" t="s">
        <v>93</v>
      </c>
      <c r="F15" s="101"/>
      <c r="G15" s="100"/>
      <c r="H15" s="97"/>
      <c r="I15" s="75"/>
    </row>
    <row r="16" spans="1:9" ht="19" x14ac:dyDescent="0.25">
      <c r="A16" s="97" t="s">
        <v>95</v>
      </c>
      <c r="B16" s="98">
        <v>0.3</v>
      </c>
      <c r="C16" s="132" t="s">
        <v>93</v>
      </c>
      <c r="D16" s="97" t="s">
        <v>93</v>
      </c>
      <c r="E16" s="97" t="s">
        <v>93</v>
      </c>
      <c r="F16" s="101"/>
      <c r="G16" s="100"/>
      <c r="H16" s="97"/>
      <c r="I16" s="75"/>
    </row>
    <row r="17" spans="1:9" ht="19" x14ac:dyDescent="0.25">
      <c r="A17" s="192" t="s">
        <v>96</v>
      </c>
      <c r="B17" s="193"/>
      <c r="C17" s="193"/>
      <c r="D17" s="193"/>
      <c r="E17" s="194"/>
      <c r="F17" s="106">
        <f>F11*(1+B15+B16)</f>
        <v>881863.88888888888</v>
      </c>
      <c r="G17" s="100"/>
      <c r="H17" s="97"/>
      <c r="I17" s="75"/>
    </row>
    <row r="18" spans="1:9" ht="19" x14ac:dyDescent="0.25">
      <c r="A18" s="189" t="s">
        <v>72</v>
      </c>
      <c r="B18" s="190"/>
      <c r="C18" s="190"/>
      <c r="D18" s="190"/>
      <c r="E18" s="190"/>
      <c r="F18" s="190"/>
      <c r="G18" s="191"/>
      <c r="H18" s="97"/>
      <c r="I18" s="75"/>
    </row>
    <row r="19" spans="1:9" ht="19" x14ac:dyDescent="0.25">
      <c r="A19" s="97" t="s">
        <v>116</v>
      </c>
      <c r="B19" s="126" t="s">
        <v>93</v>
      </c>
      <c r="C19" s="101">
        <f>6.7+7.19</f>
        <v>13.89</v>
      </c>
      <c r="D19" s="101">
        <v>0</v>
      </c>
      <c r="E19" s="100">
        <v>3000</v>
      </c>
      <c r="F19" s="103">
        <f>D19+C19*E19</f>
        <v>41670</v>
      </c>
      <c r="G19" s="123" t="s">
        <v>110</v>
      </c>
      <c r="H19" s="97" t="s">
        <v>144</v>
      </c>
      <c r="I19" s="75"/>
    </row>
    <row r="20" spans="1:9" ht="19" x14ac:dyDescent="0.25">
      <c r="A20" s="97" t="s">
        <v>77</v>
      </c>
      <c r="B20" s="126" t="s">
        <v>93</v>
      </c>
      <c r="C20" s="101">
        <v>3</v>
      </c>
      <c r="D20" s="101">
        <v>0</v>
      </c>
      <c r="E20" s="100">
        <f>E19</f>
        <v>3000</v>
      </c>
      <c r="F20" s="103">
        <f t="shared" ref="F20:F21" si="2">D20+C20*E20</f>
        <v>9000</v>
      </c>
      <c r="G20" s="123" t="s">
        <v>111</v>
      </c>
      <c r="H20" s="97"/>
      <c r="I20" s="75"/>
    </row>
    <row r="21" spans="1:9" ht="19" x14ac:dyDescent="0.25">
      <c r="A21" s="78" t="s">
        <v>78</v>
      </c>
      <c r="B21" s="126" t="s">
        <v>93</v>
      </c>
      <c r="C21" s="101">
        <v>0.02</v>
      </c>
      <c r="D21" s="101">
        <v>0</v>
      </c>
      <c r="E21" s="100">
        <f>E19</f>
        <v>3000</v>
      </c>
      <c r="F21" s="103">
        <f t="shared" si="2"/>
        <v>60</v>
      </c>
      <c r="G21" s="123" t="s">
        <v>112</v>
      </c>
      <c r="H21" s="97"/>
      <c r="I21" s="75"/>
    </row>
    <row r="22" spans="1:9" ht="19" x14ac:dyDescent="0.25">
      <c r="A22" s="192" t="s">
        <v>38</v>
      </c>
      <c r="B22" s="193"/>
      <c r="C22" s="193"/>
      <c r="D22" s="193"/>
      <c r="E22" s="194"/>
      <c r="F22" s="106">
        <f>SUM(F19:F21)</f>
        <v>50730</v>
      </c>
      <c r="G22" s="102"/>
      <c r="H22" s="97"/>
      <c r="I22" s="75"/>
    </row>
    <row r="23" spans="1:9" ht="19" x14ac:dyDescent="0.25">
      <c r="A23" s="125" t="s">
        <v>71</v>
      </c>
      <c r="B23" s="102"/>
      <c r="C23" s="102"/>
      <c r="D23" s="102"/>
      <c r="E23" s="102"/>
      <c r="F23" s="102"/>
      <c r="G23" s="102"/>
      <c r="H23" s="97"/>
      <c r="I23" s="75"/>
    </row>
    <row r="24" spans="1:9" ht="19" x14ac:dyDescent="0.25">
      <c r="A24" s="97" t="s">
        <v>94</v>
      </c>
      <c r="B24" s="79" t="s">
        <v>93</v>
      </c>
      <c r="C24" s="101">
        <v>10000</v>
      </c>
      <c r="D24" s="101">
        <v>0</v>
      </c>
      <c r="E24" s="100">
        <v>1</v>
      </c>
      <c r="F24" s="103">
        <f>D24+C24*E24</f>
        <v>10000</v>
      </c>
      <c r="G24" s="102"/>
      <c r="H24" s="97" t="s">
        <v>145</v>
      </c>
      <c r="I24" s="75"/>
    </row>
    <row r="25" spans="1:9" ht="19" x14ac:dyDescent="0.25">
      <c r="A25" s="192" t="s">
        <v>38</v>
      </c>
      <c r="B25" s="193"/>
      <c r="C25" s="193"/>
      <c r="D25" s="193"/>
      <c r="E25" s="194"/>
      <c r="F25" s="106">
        <f>SUM(F24)</f>
        <v>10000</v>
      </c>
      <c r="G25" s="102"/>
      <c r="H25" s="97"/>
      <c r="I25" s="75"/>
    </row>
    <row r="26" spans="1:9" ht="19" x14ac:dyDescent="0.25">
      <c r="A26" s="125" t="s">
        <v>68</v>
      </c>
      <c r="B26" s="102"/>
      <c r="C26" s="102"/>
      <c r="D26" s="102"/>
      <c r="E26" s="102"/>
      <c r="F26" s="102"/>
      <c r="G26" s="102"/>
      <c r="H26" s="97"/>
      <c r="I26" s="75"/>
    </row>
    <row r="27" spans="1:9" ht="19" x14ac:dyDescent="0.25">
      <c r="A27" s="78" t="s">
        <v>62</v>
      </c>
      <c r="B27" s="79" t="s">
        <v>93</v>
      </c>
      <c r="C27" s="80">
        <v>1.5</v>
      </c>
      <c r="D27" s="80">
        <v>0</v>
      </c>
      <c r="E27" s="104">
        <f>E6</f>
        <v>576</v>
      </c>
      <c r="F27" s="80">
        <f>D27+C27*E27</f>
        <v>864</v>
      </c>
      <c r="G27" s="134" t="s">
        <v>147</v>
      </c>
      <c r="H27" s="97" t="s">
        <v>146</v>
      </c>
      <c r="I27" s="75"/>
    </row>
    <row r="28" spans="1:9" ht="18" customHeight="1" x14ac:dyDescent="0.25">
      <c r="A28" s="78" t="s">
        <v>63</v>
      </c>
      <c r="B28" s="79" t="s">
        <v>93</v>
      </c>
      <c r="C28" s="80">
        <v>8.5</v>
      </c>
      <c r="D28" s="80">
        <v>0</v>
      </c>
      <c r="E28" s="104">
        <f>E6</f>
        <v>576</v>
      </c>
      <c r="F28" s="80">
        <f t="shared" ref="F28:F29" si="3">D28+C28*E28</f>
        <v>4896</v>
      </c>
      <c r="G28" s="121" t="s">
        <v>108</v>
      </c>
      <c r="H28" s="97"/>
      <c r="I28" s="75"/>
    </row>
    <row r="29" spans="1:9" ht="19" x14ac:dyDescent="0.25">
      <c r="A29" s="78" t="s">
        <v>64</v>
      </c>
      <c r="B29" s="79" t="s">
        <v>93</v>
      </c>
      <c r="C29" s="80">
        <v>3.2</v>
      </c>
      <c r="D29" s="80">
        <v>0</v>
      </c>
      <c r="E29" s="104">
        <f>E6</f>
        <v>576</v>
      </c>
      <c r="F29" s="80">
        <f t="shared" si="3"/>
        <v>1843.2</v>
      </c>
      <c r="G29" s="78"/>
      <c r="H29" s="97"/>
      <c r="I29" s="75"/>
    </row>
    <row r="30" spans="1:9" ht="24" customHeight="1" x14ac:dyDescent="0.25">
      <c r="A30" s="192" t="s">
        <v>38</v>
      </c>
      <c r="B30" s="193"/>
      <c r="C30" s="193"/>
      <c r="D30" s="193"/>
      <c r="E30" s="194"/>
      <c r="F30" s="107">
        <f>SUM(F27:F29)</f>
        <v>7603.2</v>
      </c>
      <c r="G30" s="78"/>
      <c r="H30" s="97"/>
      <c r="I30" s="75"/>
    </row>
    <row r="31" spans="1:9" ht="21" customHeight="1" x14ac:dyDescent="0.25">
      <c r="A31" s="189" t="s">
        <v>69</v>
      </c>
      <c r="B31" s="190"/>
      <c r="C31" s="190"/>
      <c r="D31" s="190"/>
      <c r="E31" s="190"/>
      <c r="F31" s="190"/>
      <c r="G31" s="191"/>
      <c r="H31" s="97"/>
      <c r="I31" s="75"/>
    </row>
    <row r="32" spans="1:9" ht="21" customHeight="1" x14ac:dyDescent="0.25">
      <c r="A32" s="78" t="s">
        <v>65</v>
      </c>
      <c r="B32" s="79" t="s">
        <v>93</v>
      </c>
      <c r="C32" s="80">
        <v>2.5999999999999999E-2</v>
      </c>
      <c r="D32" s="80">
        <v>0</v>
      </c>
      <c r="E32" s="78">
        <f>2*E3/5</f>
        <v>11520</v>
      </c>
      <c r="F32" s="80">
        <f>D32+C32*E32</f>
        <v>299.52</v>
      </c>
      <c r="G32" s="121" t="s">
        <v>113</v>
      </c>
      <c r="H32" s="97" t="s">
        <v>148</v>
      </c>
      <c r="I32" s="75"/>
    </row>
    <row r="33" spans="1:9" ht="21" customHeight="1" x14ac:dyDescent="0.25">
      <c r="A33" s="78" t="s">
        <v>66</v>
      </c>
      <c r="B33" s="79"/>
      <c r="C33" s="80"/>
      <c r="D33" s="80"/>
      <c r="E33" s="78"/>
      <c r="F33" s="80">
        <f t="shared" ref="F33:F34" si="4">D33+C33*E33</f>
        <v>0</v>
      </c>
      <c r="G33" s="78"/>
      <c r="H33" s="97" t="s">
        <v>114</v>
      </c>
      <c r="I33" s="75"/>
    </row>
    <row r="34" spans="1:9" ht="27" customHeight="1" x14ac:dyDescent="0.25">
      <c r="A34" s="78" t="s">
        <v>86</v>
      </c>
      <c r="B34" s="79" t="s">
        <v>93</v>
      </c>
      <c r="C34" s="80">
        <v>300</v>
      </c>
      <c r="D34" s="80">
        <v>0</v>
      </c>
      <c r="E34" s="78">
        <v>12</v>
      </c>
      <c r="F34" s="80">
        <f t="shared" si="4"/>
        <v>3600</v>
      </c>
      <c r="G34" s="121" t="s">
        <v>115</v>
      </c>
      <c r="H34" s="97"/>
      <c r="I34" s="75"/>
    </row>
    <row r="35" spans="1:9" ht="21" customHeight="1" x14ac:dyDescent="0.25">
      <c r="A35" s="192" t="s">
        <v>38</v>
      </c>
      <c r="B35" s="193"/>
      <c r="C35" s="193"/>
      <c r="D35" s="193"/>
      <c r="E35" s="194"/>
      <c r="F35" s="107">
        <f>F32+F34</f>
        <v>3899.52</v>
      </c>
      <c r="G35" s="78"/>
      <c r="H35" s="97"/>
      <c r="I35" s="75"/>
    </row>
    <row r="36" spans="1:9" ht="21" customHeight="1" x14ac:dyDescent="0.25">
      <c r="A36" s="81" t="s">
        <v>92</v>
      </c>
      <c r="B36" s="82"/>
      <c r="C36" s="82"/>
      <c r="D36" s="82"/>
      <c r="E36" s="82"/>
      <c r="F36" s="82"/>
      <c r="G36" s="83"/>
      <c r="H36" s="113"/>
      <c r="I36" s="75"/>
    </row>
    <row r="37" spans="1:9" ht="21" customHeight="1" x14ac:dyDescent="0.25">
      <c r="A37" s="84" t="s">
        <v>79</v>
      </c>
      <c r="B37" s="85"/>
      <c r="C37" s="86">
        <v>160</v>
      </c>
      <c r="D37" s="87">
        <v>0</v>
      </c>
      <c r="E37" s="88">
        <v>2</v>
      </c>
      <c r="F37" s="86">
        <f>D37+C37*E37</f>
        <v>320</v>
      </c>
      <c r="G37" s="128" t="s">
        <v>90</v>
      </c>
      <c r="H37" s="113"/>
      <c r="I37" s="75"/>
    </row>
    <row r="38" spans="1:9" ht="21" customHeight="1" x14ac:dyDescent="0.25">
      <c r="A38" s="84" t="s">
        <v>80</v>
      </c>
      <c r="B38" s="85"/>
      <c r="C38" s="86">
        <v>10000</v>
      </c>
      <c r="D38" s="87"/>
      <c r="E38" s="88">
        <f>1</f>
        <v>1</v>
      </c>
      <c r="F38" s="86">
        <f t="shared" ref="F38:F43" si="5">D38+C38*E38</f>
        <v>10000</v>
      </c>
      <c r="G38" s="129" t="s">
        <v>117</v>
      </c>
      <c r="H38" s="113"/>
      <c r="I38" s="75"/>
    </row>
    <row r="39" spans="1:9" ht="21" customHeight="1" x14ac:dyDescent="0.25">
      <c r="A39" s="84" t="s">
        <v>81</v>
      </c>
      <c r="B39" s="85"/>
      <c r="C39" s="86">
        <v>45</v>
      </c>
      <c r="D39" s="86">
        <v>70000</v>
      </c>
      <c r="E39" s="88">
        <f>100</f>
        <v>100</v>
      </c>
      <c r="F39" s="86">
        <f t="shared" si="5"/>
        <v>74500</v>
      </c>
      <c r="G39" s="130" t="s">
        <v>118</v>
      </c>
      <c r="H39" s="113"/>
      <c r="I39" s="75"/>
    </row>
    <row r="40" spans="1:9" ht="21" customHeight="1" x14ac:dyDescent="0.25">
      <c r="A40" s="84" t="s">
        <v>82</v>
      </c>
      <c r="B40" s="85"/>
      <c r="C40" s="86">
        <v>10000</v>
      </c>
      <c r="D40" s="87"/>
      <c r="E40" s="88">
        <v>1</v>
      </c>
      <c r="F40" s="86">
        <f t="shared" si="5"/>
        <v>10000</v>
      </c>
      <c r="G40" s="130" t="s">
        <v>119</v>
      </c>
      <c r="H40" s="113"/>
      <c r="I40" s="75"/>
    </row>
    <row r="41" spans="1:9" ht="21" customHeight="1" x14ac:dyDescent="0.25">
      <c r="A41" s="84" t="s">
        <v>83</v>
      </c>
      <c r="B41" s="85"/>
      <c r="C41" s="86">
        <v>175</v>
      </c>
      <c r="D41" s="87"/>
      <c r="E41" s="88">
        <f>E39</f>
        <v>100</v>
      </c>
      <c r="F41" s="86">
        <f t="shared" si="5"/>
        <v>17500</v>
      </c>
      <c r="G41" s="129" t="s">
        <v>120</v>
      </c>
      <c r="H41" s="113"/>
      <c r="I41" s="75"/>
    </row>
    <row r="42" spans="1:9" ht="18" customHeight="1" x14ac:dyDescent="0.25">
      <c r="A42" s="84" t="s">
        <v>84</v>
      </c>
      <c r="B42" s="85"/>
      <c r="C42" s="86">
        <v>3.2</v>
      </c>
      <c r="D42" s="87"/>
      <c r="E42" s="88">
        <f>E39</f>
        <v>100</v>
      </c>
      <c r="F42" s="86">
        <f t="shared" si="5"/>
        <v>320</v>
      </c>
      <c r="G42" s="117"/>
      <c r="H42" s="113"/>
      <c r="I42" s="75"/>
    </row>
    <row r="43" spans="1:9" ht="19" x14ac:dyDescent="0.25">
      <c r="A43" s="84" t="s">
        <v>85</v>
      </c>
      <c r="B43" s="85"/>
      <c r="C43" s="86">
        <v>0.99</v>
      </c>
      <c r="D43" s="87"/>
      <c r="E43" s="88">
        <f>E39</f>
        <v>100</v>
      </c>
      <c r="F43" s="86">
        <f t="shared" si="5"/>
        <v>99</v>
      </c>
      <c r="G43" s="117"/>
      <c r="H43" s="113"/>
      <c r="I43" s="75"/>
    </row>
    <row r="44" spans="1:9" ht="19" x14ac:dyDescent="0.25">
      <c r="A44" s="195" t="s">
        <v>38</v>
      </c>
      <c r="B44" s="196"/>
      <c r="C44" s="196"/>
      <c r="D44" s="196"/>
      <c r="E44" s="197"/>
      <c r="F44" s="89">
        <f>SUM(F37:F43)</f>
        <v>112739</v>
      </c>
      <c r="G44" s="117"/>
      <c r="H44" s="113"/>
      <c r="I44" s="75"/>
    </row>
    <row r="45" spans="1:9" ht="19" x14ac:dyDescent="0.25">
      <c r="A45" s="199" t="s">
        <v>109</v>
      </c>
      <c r="B45" s="200"/>
      <c r="C45" s="200"/>
      <c r="D45" s="200"/>
      <c r="E45" s="200"/>
      <c r="F45" s="200"/>
      <c r="G45" s="201"/>
      <c r="H45" s="113"/>
      <c r="I45" s="75"/>
    </row>
    <row r="46" spans="1:9" ht="19" x14ac:dyDescent="0.25">
      <c r="A46" s="113" t="s">
        <v>87</v>
      </c>
      <c r="B46" s="114"/>
      <c r="C46" s="115"/>
      <c r="D46" s="115"/>
      <c r="E46" s="116"/>
      <c r="F46" s="115"/>
      <c r="G46" s="116"/>
      <c r="H46" s="113"/>
      <c r="I46" s="75"/>
    </row>
    <row r="47" spans="1:9" ht="19" x14ac:dyDescent="0.25">
      <c r="A47" s="117"/>
      <c r="B47" s="118"/>
      <c r="C47" s="119"/>
      <c r="D47" s="119"/>
      <c r="E47" s="117"/>
      <c r="F47" s="119"/>
      <c r="G47" s="117"/>
      <c r="H47" s="113"/>
      <c r="I47" s="75"/>
    </row>
    <row r="48" spans="1:9" ht="19" x14ac:dyDescent="0.25">
      <c r="A48" s="198" t="s">
        <v>38</v>
      </c>
      <c r="B48" s="198"/>
      <c r="C48" s="198"/>
      <c r="D48" s="198"/>
      <c r="E48" s="198"/>
      <c r="F48" s="115">
        <f>SUM(F46:F47)</f>
        <v>0</v>
      </c>
      <c r="G48" s="117"/>
      <c r="H48" s="113"/>
      <c r="I48" s="75"/>
    </row>
    <row r="49" spans="1:9" ht="19" x14ac:dyDescent="0.25">
      <c r="A49" s="202" t="s">
        <v>40</v>
      </c>
      <c r="B49" s="203"/>
      <c r="C49" s="203"/>
      <c r="D49" s="203"/>
      <c r="E49" s="204"/>
      <c r="F49" s="107">
        <f>F35+F30+F25+F22+F17</f>
        <v>954096.60888888885</v>
      </c>
      <c r="G49" s="74"/>
      <c r="H49" s="112"/>
      <c r="I49" s="75"/>
    </row>
    <row r="50" spans="1:9" ht="19" x14ac:dyDescent="0.25">
      <c r="A50" s="202" t="s">
        <v>75</v>
      </c>
      <c r="B50" s="203"/>
      <c r="C50" s="203"/>
      <c r="D50" s="203"/>
      <c r="E50" s="204"/>
      <c r="F50" s="109">
        <f>F8-F49</f>
        <v>17903.391111111152</v>
      </c>
      <c r="G50" s="108"/>
      <c r="H50" s="112"/>
      <c r="I50" s="75"/>
    </row>
    <row r="54" spans="1:9" ht="19" x14ac:dyDescent="0.25">
      <c r="A54" s="73" t="s">
        <v>130</v>
      </c>
      <c r="B54" s="73">
        <v>1.25</v>
      </c>
    </row>
    <row r="55" spans="1:9" ht="19" x14ac:dyDescent="0.25">
      <c r="A55" s="73" t="s">
        <v>131</v>
      </c>
      <c r="B55" s="127" t="s">
        <v>132</v>
      </c>
    </row>
    <row r="57" spans="1:9" ht="19" x14ac:dyDescent="0.25">
      <c r="A57" s="73" t="s">
        <v>134</v>
      </c>
      <c r="B57" s="73">
        <v>1.8</v>
      </c>
    </row>
    <row r="58" spans="1:9" ht="19" x14ac:dyDescent="0.25">
      <c r="A58" s="73" t="s">
        <v>135</v>
      </c>
      <c r="B58" s="127" t="s">
        <v>133</v>
      </c>
    </row>
  </sheetData>
  <mergeCells count="16">
    <mergeCell ref="A18:G18"/>
    <mergeCell ref="A2:G2"/>
    <mergeCell ref="A8:E8"/>
    <mergeCell ref="A9:G9"/>
    <mergeCell ref="A10:G10"/>
    <mergeCell ref="A17:E17"/>
    <mergeCell ref="A45:G45"/>
    <mergeCell ref="A48:E48"/>
    <mergeCell ref="A49:E49"/>
    <mergeCell ref="A50:E50"/>
    <mergeCell ref="A22:E22"/>
    <mergeCell ref="A25:E25"/>
    <mergeCell ref="A30:E30"/>
    <mergeCell ref="A31:G31"/>
    <mergeCell ref="A35:E35"/>
    <mergeCell ref="A44:E44"/>
  </mergeCells>
  <hyperlinks>
    <hyperlink ref="G37" r:id="rId1" xr:uid="{15FDCC60-0102-D64D-B9DF-308930726443}"/>
    <hyperlink ref="G4" r:id="rId2" xr:uid="{8BB830A8-A963-3F47-A37D-1E255332E5C0}"/>
    <hyperlink ref="I4" r:id="rId3" xr:uid="{C6A5DF92-453E-8E42-AB21-E7ED9F3E22D0}"/>
    <hyperlink ref="G5" r:id="rId4" xr:uid="{38182F53-0AE3-9442-BF0C-ECD5B4FC66BA}"/>
    <hyperlink ref="G6" r:id="rId5" xr:uid="{023ACEA7-4EDA-CE4E-B2F4-E82BEFA0F4CB}"/>
    <hyperlink ref="I6" r:id="rId6" xr:uid="{E31870B6-6865-1D48-A58B-A6FF9C554AB3}"/>
    <hyperlink ref="G28" r:id="rId7" xr:uid="{B544ED3A-E8A4-8943-9D79-57C62952B81A}"/>
    <hyperlink ref="G19" r:id="rId8" xr:uid="{E500BBC3-2D1B-A740-9340-4E6CCFEEBAA5}"/>
    <hyperlink ref="G20" r:id="rId9" xr:uid="{D72DEDD7-D30F-F44A-8E44-77E657336FE2}"/>
    <hyperlink ref="G21" r:id="rId10" xr:uid="{FB8B6C3D-B5F3-F048-89B4-1C5ACEFCE0A8}"/>
    <hyperlink ref="G32" r:id="rId11" xr:uid="{D8D69058-1C6F-CB4B-A53E-3914DDCAFFF9}"/>
    <hyperlink ref="G34" r:id="rId12" xr:uid="{9982E218-730E-5F40-B253-07D2D01EC366}"/>
    <hyperlink ref="G38" r:id="rId13" display="https://www.cadcrowd.com/blog/how-much-does-product-design-cost-what-are-prices-for-freelance-design-firms/" xr:uid="{B5F4E687-632A-E541-A38B-B72591E8839D}"/>
    <hyperlink ref="G39" r:id="rId14" xr:uid="{E745BD3F-7119-4F47-BE58-6B6722D20B4F}"/>
    <hyperlink ref="G40" r:id="rId15" xr:uid="{2300AE6E-1702-E04C-8301-CBF7A26497EC}"/>
    <hyperlink ref="G41" r:id="rId16" xr:uid="{650C87A7-16AC-FB49-8AD1-1B7983AA83F7}"/>
    <hyperlink ref="G12" r:id="rId17" xr:uid="{5C420066-2A5C-4F4B-8CA1-CC5049A7444E}"/>
    <hyperlink ref="G13" r:id="rId18" xr:uid="{F9CB3086-0513-4D4D-8205-4573C7FFE9DC}"/>
    <hyperlink ref="G14" r:id="rId19" xr:uid="{8AF2BE2C-A6EB-974F-A6CF-3F8744CA9ED2}"/>
    <hyperlink ref="B55" r:id="rId20" xr:uid="{DCB18EFE-B16A-654C-8471-939031FFFEA8}"/>
    <hyperlink ref="B58" r:id="rId21" xr:uid="{340D4C45-79EA-2441-AD18-421EF57E03A6}"/>
    <hyperlink ref="G27" r:id="rId22" xr:uid="{8A3657BA-D474-C444-BC32-64A1A5B3DE0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57D05-3764-4C46-BB38-D1522CD8B9BF}">
  <dimension ref="A1:I58"/>
  <sheetViews>
    <sheetView zoomScale="65" workbookViewId="0">
      <selection activeCell="A5" sqref="A5"/>
    </sheetView>
  </sheetViews>
  <sheetFormatPr baseColWidth="10" defaultColWidth="11.5" defaultRowHeight="13" outlineLevelRow="1" x14ac:dyDescent="0.15"/>
  <cols>
    <col min="1" max="1" width="77.1640625" customWidth="1"/>
    <col min="2" max="2" width="17.5" customWidth="1"/>
    <col min="3" max="3" width="43.33203125" customWidth="1"/>
    <col min="4" max="4" width="28" customWidth="1"/>
    <col min="5" max="5" width="20" customWidth="1"/>
    <col min="6" max="6" width="28.33203125" customWidth="1"/>
    <col min="7" max="7" width="92.6640625" customWidth="1"/>
    <col min="8" max="8" width="81.6640625" customWidth="1"/>
    <col min="9" max="9" width="82" customWidth="1"/>
  </cols>
  <sheetData>
    <row r="1" spans="1:9" ht="21" x14ac:dyDescent="0.25">
      <c r="A1" s="76" t="s">
        <v>61</v>
      </c>
      <c r="B1" s="76" t="s">
        <v>73</v>
      </c>
      <c r="C1" s="76" t="s">
        <v>89</v>
      </c>
      <c r="D1" s="76" t="s">
        <v>67</v>
      </c>
      <c r="E1" s="77" t="s">
        <v>76</v>
      </c>
      <c r="F1" s="76" t="s">
        <v>38</v>
      </c>
      <c r="G1" s="76" t="s">
        <v>91</v>
      </c>
      <c r="H1" s="110" t="s">
        <v>97</v>
      </c>
      <c r="I1" s="77" t="s">
        <v>103</v>
      </c>
    </row>
    <row r="2" spans="1:9" ht="21" outlineLevel="1" x14ac:dyDescent="0.25">
      <c r="A2" s="180" t="s">
        <v>70</v>
      </c>
      <c r="B2" s="181"/>
      <c r="C2" s="181"/>
      <c r="D2" s="181"/>
      <c r="E2" s="181"/>
      <c r="F2" s="181"/>
      <c r="G2" s="182"/>
      <c r="H2" s="111"/>
      <c r="I2" s="75"/>
    </row>
    <row r="3" spans="1:9" ht="19" x14ac:dyDescent="0.25">
      <c r="A3" s="90" t="s">
        <v>88</v>
      </c>
      <c r="B3" s="91">
        <v>0</v>
      </c>
      <c r="C3" s="92">
        <v>0</v>
      </c>
      <c r="D3" s="92">
        <v>0</v>
      </c>
      <c r="E3" s="93">
        <f>'Financial Projections'!T23</f>
        <v>51840</v>
      </c>
      <c r="F3" s="94">
        <f>D3+E3*C3*B3</f>
        <v>0</v>
      </c>
      <c r="G3" s="120"/>
      <c r="H3" s="90" t="s">
        <v>136</v>
      </c>
      <c r="I3" s="75"/>
    </row>
    <row r="4" spans="1:9" ht="19" x14ac:dyDescent="0.25">
      <c r="A4" s="90" t="s">
        <v>60</v>
      </c>
      <c r="B4" s="91">
        <v>7.4999999999999997E-3</v>
      </c>
      <c r="C4" s="92">
        <f>'Financial Projections'!T21</f>
        <v>5625</v>
      </c>
      <c r="D4" s="92">
        <v>0</v>
      </c>
      <c r="E4" s="93">
        <f>E3</f>
        <v>51840</v>
      </c>
      <c r="F4" s="94">
        <f t="shared" ref="F4" si="0">D4+E4*C4*B4</f>
        <v>2187000</v>
      </c>
      <c r="G4" s="122" t="s">
        <v>99</v>
      </c>
      <c r="H4" s="90" t="s">
        <v>98</v>
      </c>
      <c r="I4" s="124" t="s">
        <v>100</v>
      </c>
    </row>
    <row r="5" spans="1:9" ht="19" x14ac:dyDescent="0.25">
      <c r="A5" s="90" t="s">
        <v>157</v>
      </c>
      <c r="B5" s="131" t="s">
        <v>93</v>
      </c>
      <c r="C5" s="92">
        <v>9.52</v>
      </c>
      <c r="D5" s="92">
        <v>0</v>
      </c>
      <c r="E5" s="93">
        <f>E3*0.99</f>
        <v>51321.599999999999</v>
      </c>
      <c r="F5" s="94">
        <f>D5+C5*E5</f>
        <v>488581.63199999998</v>
      </c>
      <c r="G5" s="122" t="s">
        <v>101</v>
      </c>
      <c r="H5" s="90" t="s">
        <v>102</v>
      </c>
      <c r="I5" s="75"/>
    </row>
    <row r="6" spans="1:9" ht="19" x14ac:dyDescent="0.25">
      <c r="A6" s="90" t="s">
        <v>104</v>
      </c>
      <c r="B6" s="131" t="s">
        <v>93</v>
      </c>
      <c r="C6" s="92">
        <f>C27+C28+C29+3</f>
        <v>16.2</v>
      </c>
      <c r="D6" s="92">
        <v>0</v>
      </c>
      <c r="E6" s="95">
        <f>0.02*E3</f>
        <v>1036.8</v>
      </c>
      <c r="F6" s="94">
        <f>D6+E6*C6</f>
        <v>16796.16</v>
      </c>
      <c r="G6" s="122" t="s">
        <v>105</v>
      </c>
      <c r="H6" s="90" t="s">
        <v>106</v>
      </c>
      <c r="I6" s="124" t="s">
        <v>107</v>
      </c>
    </row>
    <row r="7" spans="1:9" ht="19" x14ac:dyDescent="0.25">
      <c r="A7" s="90" t="s">
        <v>138</v>
      </c>
      <c r="B7" s="131" t="s">
        <v>93</v>
      </c>
      <c r="C7" s="92">
        <f>C5</f>
        <v>9.52</v>
      </c>
      <c r="D7" s="92">
        <v>0</v>
      </c>
      <c r="E7" s="93">
        <f>E3-E5</f>
        <v>518.40000000000146</v>
      </c>
      <c r="F7" s="94">
        <f>D7+E7*C7</f>
        <v>4935.1680000000133</v>
      </c>
      <c r="G7" s="122" t="s">
        <v>137</v>
      </c>
      <c r="H7" s="90" t="s">
        <v>139</v>
      </c>
      <c r="I7" s="124"/>
    </row>
    <row r="8" spans="1:9" ht="19" x14ac:dyDescent="0.25">
      <c r="A8" s="183" t="s">
        <v>38</v>
      </c>
      <c r="B8" s="184"/>
      <c r="C8" s="184"/>
      <c r="D8" s="184"/>
      <c r="E8" s="185"/>
      <c r="F8" s="105">
        <f>SUM(F3:F4)</f>
        <v>2187000</v>
      </c>
      <c r="G8" s="96"/>
      <c r="H8" s="90" t="s">
        <v>154</v>
      </c>
      <c r="I8" s="75"/>
    </row>
    <row r="9" spans="1:9" ht="21" x14ac:dyDescent="0.25">
      <c r="A9" s="186" t="s">
        <v>74</v>
      </c>
      <c r="B9" s="187"/>
      <c r="C9" s="187"/>
      <c r="D9" s="187"/>
      <c r="E9" s="187"/>
      <c r="F9" s="187"/>
      <c r="G9" s="188"/>
      <c r="H9" s="97"/>
      <c r="I9" s="75"/>
    </row>
    <row r="10" spans="1:9" ht="19" x14ac:dyDescent="0.25">
      <c r="A10" s="189" t="s">
        <v>17</v>
      </c>
      <c r="B10" s="190"/>
      <c r="C10" s="190"/>
      <c r="D10" s="190"/>
      <c r="E10" s="190"/>
      <c r="F10" s="190"/>
      <c r="G10" s="191"/>
      <c r="H10" s="97"/>
      <c r="I10" s="75"/>
    </row>
    <row r="11" spans="1:9" ht="19" x14ac:dyDescent="0.25">
      <c r="A11" s="97" t="s">
        <v>121</v>
      </c>
      <c r="B11" s="126" t="s">
        <v>93</v>
      </c>
      <c r="C11" s="99">
        <f>AVERAGE(C12:C14)</f>
        <v>107983.33333333333</v>
      </c>
      <c r="D11" s="97" t="s">
        <v>93</v>
      </c>
      <c r="E11" s="99">
        <f>'Financial Projections'!T34</f>
        <v>7</v>
      </c>
      <c r="F11" s="101">
        <f>E11*C11</f>
        <v>755883.33333333326</v>
      </c>
      <c r="G11" s="100"/>
      <c r="H11" s="97" t="s">
        <v>140</v>
      </c>
      <c r="I11" s="75"/>
    </row>
    <row r="12" spans="1:9" ht="19" x14ac:dyDescent="0.25">
      <c r="A12" s="97" t="s">
        <v>122</v>
      </c>
      <c r="B12" s="126" t="s">
        <v>93</v>
      </c>
      <c r="C12" s="99">
        <v>89000</v>
      </c>
      <c r="D12" s="97" t="s">
        <v>93</v>
      </c>
      <c r="E12" s="100">
        <v>1</v>
      </c>
      <c r="F12" s="101">
        <f t="shared" ref="F12:F14" si="1">E12*C12</f>
        <v>89000</v>
      </c>
      <c r="G12" s="123" t="s">
        <v>125</v>
      </c>
      <c r="H12" s="97" t="s">
        <v>141</v>
      </c>
      <c r="I12" s="75"/>
    </row>
    <row r="13" spans="1:9" ht="19" x14ac:dyDescent="0.25">
      <c r="A13" s="97" t="s">
        <v>123</v>
      </c>
      <c r="B13" s="126" t="s">
        <v>93</v>
      </c>
      <c r="C13" s="99">
        <v>99657</v>
      </c>
      <c r="D13" s="97" t="s">
        <v>93</v>
      </c>
      <c r="E13" s="100">
        <v>1</v>
      </c>
      <c r="F13" s="101">
        <f>C13*E13</f>
        <v>99657</v>
      </c>
      <c r="G13" s="123" t="s">
        <v>126</v>
      </c>
      <c r="H13" s="97" t="s">
        <v>142</v>
      </c>
      <c r="I13" s="75"/>
    </row>
    <row r="14" spans="1:9" ht="19" x14ac:dyDescent="0.25">
      <c r="A14" s="97" t="s">
        <v>124</v>
      </c>
      <c r="B14" s="126" t="s">
        <v>93</v>
      </c>
      <c r="C14" s="99">
        <v>135293</v>
      </c>
      <c r="D14" s="97" t="s">
        <v>93</v>
      </c>
      <c r="E14" s="100">
        <v>1</v>
      </c>
      <c r="F14" s="101">
        <f t="shared" si="1"/>
        <v>135293</v>
      </c>
      <c r="G14" s="123" t="s">
        <v>127</v>
      </c>
      <c r="H14" s="97" t="s">
        <v>143</v>
      </c>
      <c r="I14" s="75"/>
    </row>
    <row r="15" spans="1:9" ht="19" x14ac:dyDescent="0.25">
      <c r="A15" s="97" t="s">
        <v>24</v>
      </c>
      <c r="B15" s="98">
        <v>0.33333333333333337</v>
      </c>
      <c r="C15" s="132" t="s">
        <v>93</v>
      </c>
      <c r="D15" s="97" t="s">
        <v>93</v>
      </c>
      <c r="E15" s="97" t="s">
        <v>93</v>
      </c>
      <c r="F15" s="101"/>
      <c r="G15" s="100"/>
      <c r="H15" s="97"/>
      <c r="I15" s="75"/>
    </row>
    <row r="16" spans="1:9" ht="19" x14ac:dyDescent="0.25">
      <c r="A16" s="97" t="s">
        <v>95</v>
      </c>
      <c r="B16" s="98">
        <v>0.3</v>
      </c>
      <c r="C16" s="132" t="s">
        <v>93</v>
      </c>
      <c r="D16" s="97" t="s">
        <v>93</v>
      </c>
      <c r="E16" s="97" t="s">
        <v>93</v>
      </c>
      <c r="F16" s="101"/>
      <c r="G16" s="100"/>
      <c r="H16" s="97"/>
      <c r="I16" s="75"/>
    </row>
    <row r="17" spans="1:9" ht="19" x14ac:dyDescent="0.25">
      <c r="A17" s="192" t="s">
        <v>96</v>
      </c>
      <c r="B17" s="193"/>
      <c r="C17" s="193"/>
      <c r="D17" s="193"/>
      <c r="E17" s="194"/>
      <c r="F17" s="106">
        <f>F11*(1+B15+B16)</f>
        <v>1234609.4444444445</v>
      </c>
      <c r="G17" s="100"/>
      <c r="H17" s="97"/>
      <c r="I17" s="75"/>
    </row>
    <row r="18" spans="1:9" ht="19" x14ac:dyDescent="0.25">
      <c r="A18" s="189" t="s">
        <v>72</v>
      </c>
      <c r="B18" s="190"/>
      <c r="C18" s="190"/>
      <c r="D18" s="190"/>
      <c r="E18" s="190"/>
      <c r="F18" s="190"/>
      <c r="G18" s="191"/>
      <c r="H18" s="97"/>
      <c r="I18" s="75"/>
    </row>
    <row r="19" spans="1:9" ht="19" x14ac:dyDescent="0.25">
      <c r="A19" s="97" t="s">
        <v>116</v>
      </c>
      <c r="B19" s="126" t="s">
        <v>93</v>
      </c>
      <c r="C19" s="101">
        <f>6.7+7.19</f>
        <v>13.89</v>
      </c>
      <c r="D19" s="101">
        <v>0</v>
      </c>
      <c r="E19" s="100">
        <v>3000</v>
      </c>
      <c r="F19" s="103">
        <f>D19+C19*E19</f>
        <v>41670</v>
      </c>
      <c r="G19" s="123" t="s">
        <v>110</v>
      </c>
      <c r="H19" s="97" t="s">
        <v>144</v>
      </c>
      <c r="I19" s="75"/>
    </row>
    <row r="20" spans="1:9" ht="19" x14ac:dyDescent="0.25">
      <c r="A20" s="97" t="s">
        <v>77</v>
      </c>
      <c r="B20" s="126" t="s">
        <v>93</v>
      </c>
      <c r="C20" s="101">
        <v>3</v>
      </c>
      <c r="D20" s="101">
        <v>0</v>
      </c>
      <c r="E20" s="100">
        <f>E19</f>
        <v>3000</v>
      </c>
      <c r="F20" s="103">
        <f t="shared" ref="F20:F21" si="2">D20+C20*E20</f>
        <v>9000</v>
      </c>
      <c r="G20" s="123" t="s">
        <v>111</v>
      </c>
      <c r="H20" s="97"/>
      <c r="I20" s="75"/>
    </row>
    <row r="21" spans="1:9" ht="19" x14ac:dyDescent="0.25">
      <c r="A21" s="78" t="s">
        <v>78</v>
      </c>
      <c r="B21" s="126" t="s">
        <v>93</v>
      </c>
      <c r="C21" s="101">
        <v>0.02</v>
      </c>
      <c r="D21" s="101">
        <v>0</v>
      </c>
      <c r="E21" s="100">
        <f>E19</f>
        <v>3000</v>
      </c>
      <c r="F21" s="103">
        <f t="shared" si="2"/>
        <v>60</v>
      </c>
      <c r="G21" s="123" t="s">
        <v>112</v>
      </c>
      <c r="H21" s="97"/>
      <c r="I21" s="75"/>
    </row>
    <row r="22" spans="1:9" ht="19" x14ac:dyDescent="0.25">
      <c r="A22" s="192" t="s">
        <v>38</v>
      </c>
      <c r="B22" s="193"/>
      <c r="C22" s="193"/>
      <c r="D22" s="193"/>
      <c r="E22" s="194"/>
      <c r="F22" s="106">
        <f>SUM(F19:F21)</f>
        <v>50730</v>
      </c>
      <c r="G22" s="102"/>
      <c r="H22" s="97"/>
      <c r="I22" s="75"/>
    </row>
    <row r="23" spans="1:9" ht="19" x14ac:dyDescent="0.25">
      <c r="A23" s="125" t="s">
        <v>71</v>
      </c>
      <c r="B23" s="102"/>
      <c r="C23" s="102"/>
      <c r="D23" s="102"/>
      <c r="E23" s="102"/>
      <c r="F23" s="102"/>
      <c r="G23" s="102"/>
      <c r="H23" s="97"/>
      <c r="I23" s="75"/>
    </row>
    <row r="24" spans="1:9" ht="19" x14ac:dyDescent="0.25">
      <c r="A24" s="97" t="s">
        <v>94</v>
      </c>
      <c r="B24" s="79" t="s">
        <v>93</v>
      </c>
      <c r="C24" s="101">
        <v>10000</v>
      </c>
      <c r="D24" s="101">
        <v>0</v>
      </c>
      <c r="E24" s="100">
        <v>1</v>
      </c>
      <c r="F24" s="103">
        <f>D24+C24*E24</f>
        <v>10000</v>
      </c>
      <c r="G24" s="102"/>
      <c r="H24" s="97" t="s">
        <v>145</v>
      </c>
      <c r="I24" s="75"/>
    </row>
    <row r="25" spans="1:9" ht="19" x14ac:dyDescent="0.25">
      <c r="A25" s="192" t="s">
        <v>38</v>
      </c>
      <c r="B25" s="193"/>
      <c r="C25" s="193"/>
      <c r="D25" s="193"/>
      <c r="E25" s="194"/>
      <c r="F25" s="106">
        <f>SUM(F24)</f>
        <v>10000</v>
      </c>
      <c r="G25" s="102"/>
      <c r="H25" s="97"/>
      <c r="I25" s="75"/>
    </row>
    <row r="26" spans="1:9" ht="19" x14ac:dyDescent="0.25">
      <c r="A26" s="125" t="s">
        <v>68</v>
      </c>
      <c r="B26" s="102"/>
      <c r="C26" s="102"/>
      <c r="D26" s="102"/>
      <c r="E26" s="102"/>
      <c r="F26" s="102"/>
      <c r="G26" s="102"/>
      <c r="H26" s="97"/>
      <c r="I26" s="75"/>
    </row>
    <row r="27" spans="1:9" ht="19" x14ac:dyDescent="0.25">
      <c r="A27" s="78" t="s">
        <v>62</v>
      </c>
      <c r="B27" s="79" t="s">
        <v>93</v>
      </c>
      <c r="C27" s="80">
        <v>1.5</v>
      </c>
      <c r="D27" s="80">
        <v>0</v>
      </c>
      <c r="E27" s="104">
        <f>E6</f>
        <v>1036.8</v>
      </c>
      <c r="F27" s="80">
        <f>D27+C27*E27</f>
        <v>1555.1999999999998</v>
      </c>
      <c r="G27" s="134" t="s">
        <v>147</v>
      </c>
      <c r="H27" s="97" t="s">
        <v>146</v>
      </c>
      <c r="I27" s="75"/>
    </row>
    <row r="28" spans="1:9" ht="18" customHeight="1" x14ac:dyDescent="0.25">
      <c r="A28" s="78" t="s">
        <v>63</v>
      </c>
      <c r="B28" s="79" t="s">
        <v>93</v>
      </c>
      <c r="C28" s="80">
        <v>8.5</v>
      </c>
      <c r="D28" s="80">
        <v>0</v>
      </c>
      <c r="E28" s="104">
        <f>E6</f>
        <v>1036.8</v>
      </c>
      <c r="F28" s="80">
        <f t="shared" ref="F28:F29" si="3">D28+C28*E28</f>
        <v>8812.7999999999993</v>
      </c>
      <c r="G28" s="121" t="s">
        <v>108</v>
      </c>
      <c r="H28" s="97"/>
      <c r="I28" s="75"/>
    </row>
    <row r="29" spans="1:9" ht="19" x14ac:dyDescent="0.25">
      <c r="A29" s="78" t="s">
        <v>64</v>
      </c>
      <c r="B29" s="79" t="s">
        <v>93</v>
      </c>
      <c r="C29" s="80">
        <v>3.2</v>
      </c>
      <c r="D29" s="80">
        <v>0</v>
      </c>
      <c r="E29" s="104">
        <f>E6</f>
        <v>1036.8</v>
      </c>
      <c r="F29" s="80">
        <f t="shared" si="3"/>
        <v>3317.76</v>
      </c>
      <c r="G29" s="78"/>
      <c r="H29" s="97"/>
      <c r="I29" s="75"/>
    </row>
    <row r="30" spans="1:9" ht="24" customHeight="1" x14ac:dyDescent="0.25">
      <c r="A30" s="192" t="s">
        <v>38</v>
      </c>
      <c r="B30" s="193"/>
      <c r="C30" s="193"/>
      <c r="D30" s="193"/>
      <c r="E30" s="194"/>
      <c r="F30" s="107">
        <f>SUM(F27:F29)</f>
        <v>13685.76</v>
      </c>
      <c r="G30" s="78"/>
      <c r="H30" s="97"/>
      <c r="I30" s="75"/>
    </row>
    <row r="31" spans="1:9" ht="21" customHeight="1" x14ac:dyDescent="0.25">
      <c r="A31" s="189" t="s">
        <v>69</v>
      </c>
      <c r="B31" s="190"/>
      <c r="C31" s="190"/>
      <c r="D31" s="190"/>
      <c r="E31" s="190"/>
      <c r="F31" s="190"/>
      <c r="G31" s="191"/>
      <c r="H31" s="97"/>
      <c r="I31" s="75"/>
    </row>
    <row r="32" spans="1:9" ht="21" customHeight="1" x14ac:dyDescent="0.25">
      <c r="A32" s="78" t="s">
        <v>65</v>
      </c>
      <c r="B32" s="79" t="s">
        <v>93</v>
      </c>
      <c r="C32" s="80">
        <v>2.5999999999999999E-2</v>
      </c>
      <c r="D32" s="80">
        <v>0</v>
      </c>
      <c r="E32" s="78">
        <f>2*E3/5</f>
        <v>20736</v>
      </c>
      <c r="F32" s="80">
        <f>D32+C32*E32</f>
        <v>539.13599999999997</v>
      </c>
      <c r="G32" s="121" t="s">
        <v>113</v>
      </c>
      <c r="H32" s="97" t="s">
        <v>148</v>
      </c>
      <c r="I32" s="75"/>
    </row>
    <row r="33" spans="1:9" ht="21" customHeight="1" x14ac:dyDescent="0.25">
      <c r="A33" s="78" t="s">
        <v>66</v>
      </c>
      <c r="B33" s="79"/>
      <c r="C33" s="80"/>
      <c r="D33" s="80"/>
      <c r="E33" s="78"/>
      <c r="F33" s="80">
        <f t="shared" ref="F33:F34" si="4">D33+C33*E33</f>
        <v>0</v>
      </c>
      <c r="G33" s="78"/>
      <c r="H33" s="97" t="s">
        <v>114</v>
      </c>
      <c r="I33" s="75"/>
    </row>
    <row r="34" spans="1:9" ht="27" customHeight="1" x14ac:dyDescent="0.25">
      <c r="A34" s="78" t="s">
        <v>86</v>
      </c>
      <c r="B34" s="79" t="s">
        <v>93</v>
      </c>
      <c r="C34" s="80">
        <v>300</v>
      </c>
      <c r="D34" s="80">
        <v>0</v>
      </c>
      <c r="E34" s="78">
        <v>12</v>
      </c>
      <c r="F34" s="80">
        <f t="shared" si="4"/>
        <v>3600</v>
      </c>
      <c r="G34" s="121" t="s">
        <v>115</v>
      </c>
      <c r="H34" s="97"/>
      <c r="I34" s="75"/>
    </row>
    <row r="35" spans="1:9" ht="21" customHeight="1" x14ac:dyDescent="0.25">
      <c r="A35" s="192" t="s">
        <v>38</v>
      </c>
      <c r="B35" s="193"/>
      <c r="C35" s="193"/>
      <c r="D35" s="193"/>
      <c r="E35" s="194"/>
      <c r="F35" s="107">
        <f>F32+F34</f>
        <v>4139.1360000000004</v>
      </c>
      <c r="G35" s="78"/>
      <c r="H35" s="97"/>
      <c r="I35" s="75"/>
    </row>
    <row r="36" spans="1:9" ht="21" customHeight="1" x14ac:dyDescent="0.25">
      <c r="A36" s="81" t="s">
        <v>92</v>
      </c>
      <c r="B36" s="82"/>
      <c r="C36" s="82"/>
      <c r="D36" s="82"/>
      <c r="E36" s="82"/>
      <c r="F36" s="82"/>
      <c r="G36" s="83"/>
      <c r="H36" s="113"/>
      <c r="I36" s="75"/>
    </row>
    <row r="37" spans="1:9" ht="21" customHeight="1" x14ac:dyDescent="0.25">
      <c r="A37" s="84" t="s">
        <v>79</v>
      </c>
      <c r="B37" s="85"/>
      <c r="C37" s="86">
        <v>160</v>
      </c>
      <c r="D37" s="87">
        <v>0</v>
      </c>
      <c r="E37" s="88">
        <v>2</v>
      </c>
      <c r="F37" s="86">
        <f>D37+C37*E37</f>
        <v>320</v>
      </c>
      <c r="G37" s="128" t="s">
        <v>90</v>
      </c>
      <c r="H37" s="113"/>
      <c r="I37" s="75"/>
    </row>
    <row r="38" spans="1:9" ht="21" customHeight="1" x14ac:dyDescent="0.25">
      <c r="A38" s="84" t="s">
        <v>80</v>
      </c>
      <c r="B38" s="85"/>
      <c r="C38" s="86">
        <v>10000</v>
      </c>
      <c r="D38" s="87"/>
      <c r="E38" s="88">
        <f>1</f>
        <v>1</v>
      </c>
      <c r="F38" s="86">
        <f t="shared" ref="F38:F43" si="5">D38+C38*E38</f>
        <v>10000</v>
      </c>
      <c r="G38" s="129" t="s">
        <v>117</v>
      </c>
      <c r="H38" s="113"/>
      <c r="I38" s="75"/>
    </row>
    <row r="39" spans="1:9" ht="21" customHeight="1" x14ac:dyDescent="0.25">
      <c r="A39" s="84" t="s">
        <v>81</v>
      </c>
      <c r="B39" s="85"/>
      <c r="C39" s="86">
        <v>45</v>
      </c>
      <c r="D39" s="86">
        <v>70000</v>
      </c>
      <c r="E39" s="88">
        <f>100</f>
        <v>100</v>
      </c>
      <c r="F39" s="86">
        <f t="shared" si="5"/>
        <v>74500</v>
      </c>
      <c r="G39" s="130" t="s">
        <v>118</v>
      </c>
      <c r="H39" s="113"/>
      <c r="I39" s="75"/>
    </row>
    <row r="40" spans="1:9" ht="21" customHeight="1" x14ac:dyDescent="0.25">
      <c r="A40" s="84" t="s">
        <v>82</v>
      </c>
      <c r="B40" s="85"/>
      <c r="C40" s="86">
        <v>10000</v>
      </c>
      <c r="D40" s="87"/>
      <c r="E40" s="88">
        <v>1</v>
      </c>
      <c r="F40" s="86">
        <f t="shared" si="5"/>
        <v>10000</v>
      </c>
      <c r="G40" s="130" t="s">
        <v>119</v>
      </c>
      <c r="H40" s="113"/>
      <c r="I40" s="75"/>
    </row>
    <row r="41" spans="1:9" ht="21" customHeight="1" x14ac:dyDescent="0.25">
      <c r="A41" s="84" t="s">
        <v>83</v>
      </c>
      <c r="B41" s="85"/>
      <c r="C41" s="86">
        <v>175</v>
      </c>
      <c r="D41" s="87"/>
      <c r="E41" s="88">
        <f>E39</f>
        <v>100</v>
      </c>
      <c r="F41" s="86">
        <f t="shared" si="5"/>
        <v>17500</v>
      </c>
      <c r="G41" s="129" t="s">
        <v>120</v>
      </c>
      <c r="H41" s="113"/>
      <c r="I41" s="75"/>
    </row>
    <row r="42" spans="1:9" ht="18" customHeight="1" x14ac:dyDescent="0.25">
      <c r="A42" s="84" t="s">
        <v>84</v>
      </c>
      <c r="B42" s="85"/>
      <c r="C42" s="86">
        <v>3.2</v>
      </c>
      <c r="D42" s="87"/>
      <c r="E42" s="88">
        <f>E39</f>
        <v>100</v>
      </c>
      <c r="F42" s="86">
        <f t="shared" si="5"/>
        <v>320</v>
      </c>
      <c r="G42" s="117"/>
      <c r="H42" s="113"/>
      <c r="I42" s="75"/>
    </row>
    <row r="43" spans="1:9" ht="19" x14ac:dyDescent="0.25">
      <c r="A43" s="84" t="s">
        <v>85</v>
      </c>
      <c r="B43" s="85"/>
      <c r="C43" s="86">
        <v>0.99</v>
      </c>
      <c r="D43" s="87"/>
      <c r="E43" s="88">
        <f>E39</f>
        <v>100</v>
      </c>
      <c r="F43" s="86">
        <f t="shared" si="5"/>
        <v>99</v>
      </c>
      <c r="G43" s="117"/>
      <c r="H43" s="113"/>
      <c r="I43" s="75"/>
    </row>
    <row r="44" spans="1:9" ht="19" x14ac:dyDescent="0.25">
      <c r="A44" s="195" t="s">
        <v>38</v>
      </c>
      <c r="B44" s="196"/>
      <c r="C44" s="196"/>
      <c r="D44" s="196"/>
      <c r="E44" s="197"/>
      <c r="F44" s="89">
        <f>SUM(F37:F43)</f>
        <v>112739</v>
      </c>
      <c r="G44" s="117"/>
      <c r="H44" s="113"/>
      <c r="I44" s="75"/>
    </row>
    <row r="45" spans="1:9" ht="19" x14ac:dyDescent="0.25">
      <c r="A45" s="199" t="s">
        <v>109</v>
      </c>
      <c r="B45" s="200"/>
      <c r="C45" s="200"/>
      <c r="D45" s="200"/>
      <c r="E45" s="200"/>
      <c r="F45" s="200"/>
      <c r="G45" s="201"/>
      <c r="H45" s="113"/>
      <c r="I45" s="75"/>
    </row>
    <row r="46" spans="1:9" ht="19" x14ac:dyDescent="0.25">
      <c r="A46" s="113" t="s">
        <v>87</v>
      </c>
      <c r="B46" s="114"/>
      <c r="C46" s="115"/>
      <c r="D46" s="115"/>
      <c r="E46" s="116"/>
      <c r="F46" s="115"/>
      <c r="G46" s="116"/>
      <c r="H46" s="113"/>
      <c r="I46" s="75"/>
    </row>
    <row r="47" spans="1:9" ht="19" x14ac:dyDescent="0.25">
      <c r="A47" s="117"/>
      <c r="B47" s="118"/>
      <c r="C47" s="119"/>
      <c r="D47" s="119"/>
      <c r="E47" s="117"/>
      <c r="F47" s="119"/>
      <c r="G47" s="117"/>
      <c r="H47" s="113"/>
      <c r="I47" s="75"/>
    </row>
    <row r="48" spans="1:9" ht="19" x14ac:dyDescent="0.25">
      <c r="A48" s="198" t="s">
        <v>38</v>
      </c>
      <c r="B48" s="198"/>
      <c r="C48" s="198"/>
      <c r="D48" s="198"/>
      <c r="E48" s="198"/>
      <c r="F48" s="115">
        <f>SUM(F46:F47)</f>
        <v>0</v>
      </c>
      <c r="G48" s="117"/>
      <c r="H48" s="113"/>
      <c r="I48" s="75"/>
    </row>
    <row r="49" spans="1:9" ht="19" x14ac:dyDescent="0.25">
      <c r="A49" s="202" t="s">
        <v>40</v>
      </c>
      <c r="B49" s="203"/>
      <c r="C49" s="203"/>
      <c r="D49" s="203"/>
      <c r="E49" s="204"/>
      <c r="F49" s="107">
        <f>F35+F30+F25+F22+F17</f>
        <v>1313164.3404444444</v>
      </c>
      <c r="G49" s="74"/>
      <c r="H49" s="112"/>
      <c r="I49" s="75"/>
    </row>
    <row r="50" spans="1:9" ht="19" x14ac:dyDescent="0.25">
      <c r="A50" s="202" t="s">
        <v>75</v>
      </c>
      <c r="B50" s="203"/>
      <c r="C50" s="203"/>
      <c r="D50" s="203"/>
      <c r="E50" s="204"/>
      <c r="F50" s="109">
        <f>F8-F49</f>
        <v>873835.65955555555</v>
      </c>
      <c r="G50" s="108"/>
      <c r="H50" s="112"/>
      <c r="I50" s="75"/>
    </row>
    <row r="54" spans="1:9" ht="19" x14ac:dyDescent="0.25">
      <c r="A54" s="73" t="s">
        <v>130</v>
      </c>
      <c r="B54" s="73">
        <v>1.25</v>
      </c>
    </row>
    <row r="55" spans="1:9" ht="19" x14ac:dyDescent="0.25">
      <c r="A55" s="73" t="s">
        <v>131</v>
      </c>
      <c r="B55" s="127" t="s">
        <v>132</v>
      </c>
    </row>
    <row r="57" spans="1:9" ht="19" x14ac:dyDescent="0.25">
      <c r="A57" s="73" t="s">
        <v>134</v>
      </c>
      <c r="B57" s="73">
        <v>1.8</v>
      </c>
    </row>
    <row r="58" spans="1:9" ht="19" x14ac:dyDescent="0.25">
      <c r="A58" s="73" t="s">
        <v>135</v>
      </c>
      <c r="B58" s="127" t="s">
        <v>133</v>
      </c>
    </row>
  </sheetData>
  <mergeCells count="16">
    <mergeCell ref="A18:G18"/>
    <mergeCell ref="A2:G2"/>
    <mergeCell ref="A8:E8"/>
    <mergeCell ref="A9:G9"/>
    <mergeCell ref="A10:G10"/>
    <mergeCell ref="A17:E17"/>
    <mergeCell ref="A45:G45"/>
    <mergeCell ref="A48:E48"/>
    <mergeCell ref="A49:E49"/>
    <mergeCell ref="A50:E50"/>
    <mergeCell ref="A22:E22"/>
    <mergeCell ref="A25:E25"/>
    <mergeCell ref="A30:E30"/>
    <mergeCell ref="A31:G31"/>
    <mergeCell ref="A35:E35"/>
    <mergeCell ref="A44:E44"/>
  </mergeCells>
  <hyperlinks>
    <hyperlink ref="G37" r:id="rId1" xr:uid="{CBB9360F-83F6-E74E-BE2C-880729387C34}"/>
    <hyperlink ref="G4" r:id="rId2" xr:uid="{06E9ED5D-3DA1-0C4D-80BC-0A2DACBFBE39}"/>
    <hyperlink ref="I4" r:id="rId3" xr:uid="{C481BD0C-5F35-7A43-AE14-CDB8FCB85F73}"/>
    <hyperlink ref="G5" r:id="rId4" xr:uid="{C742F0EB-FB4F-EC4A-898E-F99CC394AA37}"/>
    <hyperlink ref="G6" r:id="rId5" xr:uid="{497D0401-1CD7-F940-B51F-D448793ED192}"/>
    <hyperlink ref="I6" r:id="rId6" xr:uid="{26B924B2-254C-8841-AD6D-F7DE8918F77F}"/>
    <hyperlink ref="G28" r:id="rId7" xr:uid="{49261419-A083-F24C-90E0-CAE2E50B644B}"/>
    <hyperlink ref="G19" r:id="rId8" xr:uid="{3D875F98-C0FA-7F4D-9BB1-A25B2E954F66}"/>
    <hyperlink ref="G20" r:id="rId9" xr:uid="{B50A28CD-1BBC-E945-A3E4-AE83328509DE}"/>
    <hyperlink ref="G21" r:id="rId10" xr:uid="{F1E3DA58-893F-0F45-8F35-CC5D74A77A92}"/>
    <hyperlink ref="G32" r:id="rId11" xr:uid="{26C834A9-C8EE-9D4C-8C3A-48DCA2CF1B2F}"/>
    <hyperlink ref="G34" r:id="rId12" xr:uid="{C32E136A-8CB1-D94C-8129-AF0BC9AD83D0}"/>
    <hyperlink ref="G38" r:id="rId13" display="https://www.cadcrowd.com/blog/how-much-does-product-design-cost-what-are-prices-for-freelance-design-firms/" xr:uid="{7B9933FB-E1CC-6248-B8A1-5A28EDAB4C1A}"/>
    <hyperlink ref="G39" r:id="rId14" xr:uid="{19AE6141-2699-8F49-AC27-7CDE7A8C412F}"/>
    <hyperlink ref="G40" r:id="rId15" xr:uid="{217E203A-548D-C34C-A550-712AC69391BB}"/>
    <hyperlink ref="G41" r:id="rId16" xr:uid="{C740E4CC-C325-9549-B563-F64AF3426FFB}"/>
    <hyperlink ref="G12" r:id="rId17" xr:uid="{89F1DF4A-C483-154B-9097-867968DAAE71}"/>
    <hyperlink ref="G13" r:id="rId18" xr:uid="{D69A3044-C94C-934F-B36D-12883BD0D0A6}"/>
    <hyperlink ref="G14" r:id="rId19" xr:uid="{6F1F5AC6-8904-344C-9DEC-800DA2F3A049}"/>
    <hyperlink ref="B55" r:id="rId20" xr:uid="{A856E4F3-DBC3-174B-8FAE-EEC3ACD31F58}"/>
    <hyperlink ref="B58" r:id="rId21" xr:uid="{86293399-6371-9843-ABB9-A18D67F26FA8}"/>
    <hyperlink ref="G27" r:id="rId22" xr:uid="{AD023764-D6D1-E948-A34C-9D5EB8BF8B3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5"/>
  <sheetViews>
    <sheetView workbookViewId="0"/>
  </sheetViews>
  <sheetFormatPr baseColWidth="10" defaultColWidth="14.5" defaultRowHeight="15.75" customHeight="1" x14ac:dyDescent="0.15"/>
  <sheetData>
    <row r="1" spans="1:1" ht="15.75" customHeight="1" x14ac:dyDescent="0.15">
      <c r="A1" s="1" t="s">
        <v>47</v>
      </c>
    </row>
    <row r="2" spans="1:1" ht="15.75" customHeight="1" x14ac:dyDescent="0.15">
      <c r="A2" s="2">
        <v>1000</v>
      </c>
    </row>
    <row r="3" spans="1:1" ht="15.75" customHeight="1" x14ac:dyDescent="0.15">
      <c r="A3" s="2">
        <v>50000</v>
      </c>
    </row>
    <row r="4" spans="1:1" ht="15.75" customHeight="1" x14ac:dyDescent="0.15">
      <c r="A4" s="2">
        <v>100000</v>
      </c>
    </row>
    <row r="5" spans="1:1" ht="15.75" customHeight="1" x14ac:dyDescent="0.15">
      <c r="A5" s="2">
        <v>500000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Financial Projections</vt:lpstr>
      <vt:lpstr>Breakdown and References Year 1</vt:lpstr>
      <vt:lpstr>Breakdown and References Year 2</vt:lpstr>
      <vt:lpstr>Breakdown and References Year 3</vt:lpstr>
      <vt:lpstr>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Mihir Kavishwar</cp:lastModifiedBy>
  <cp:revision/>
  <dcterms:created xsi:type="dcterms:W3CDTF">2022-10-15T20:04:34Z</dcterms:created>
  <dcterms:modified xsi:type="dcterms:W3CDTF">2022-11-29T06:09:28Z</dcterms:modified>
  <cp:category/>
  <cp:contentStatus/>
</cp:coreProperties>
</file>